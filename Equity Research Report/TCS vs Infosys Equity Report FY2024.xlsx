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zie\Downloads\"/>
    </mc:Choice>
  </mc:AlternateContent>
  <bookViews>
    <workbookView xWindow="0" yWindow="0" windowWidth="19200" windowHeight="6390" firstSheet="3" activeTab="7"/>
  </bookViews>
  <sheets>
    <sheet name="Cover" sheetId="1" r:id="rId1"/>
    <sheet name="Company Overview" sheetId="2" r:id="rId2"/>
    <sheet name="Income Statement" sheetId="3" r:id="rId3"/>
    <sheet name="Balance Sheet" sheetId="4" r:id="rId4"/>
    <sheet name="Financial Ratios" sheetId="5" r:id="rId5"/>
    <sheet name="Comparative Scorecard" sheetId="6" r:id="rId6"/>
    <sheet name="Charts" sheetId="7" r:id="rId7"/>
    <sheet name="Observations &amp; Reco" sheetId="8" r:id="rId8"/>
  </sheets>
  <calcPr calcId="152511"/>
</workbook>
</file>

<file path=xl/calcChain.xml><?xml version="1.0" encoding="utf-8"?>
<calcChain xmlns="http://schemas.openxmlformats.org/spreadsheetml/2006/main">
  <c r="B31" i="4" l="1"/>
  <c r="E26" i="3"/>
  <c r="C26" i="3"/>
  <c r="E23" i="3"/>
  <c r="C23" i="3"/>
  <c r="E22" i="3"/>
  <c r="C22" i="3"/>
  <c r="E21" i="3"/>
  <c r="C21" i="3"/>
  <c r="E20" i="3"/>
  <c r="C20" i="3"/>
  <c r="E19" i="3"/>
  <c r="C19" i="3"/>
  <c r="C18" i="3"/>
  <c r="E15" i="3"/>
  <c r="C15" i="3"/>
  <c r="E14" i="3"/>
  <c r="C14" i="3"/>
  <c r="E13" i="3"/>
  <c r="C13" i="3"/>
  <c r="E12" i="3"/>
  <c r="C12" i="3"/>
  <c r="E11" i="3"/>
  <c r="E10" i="3"/>
  <c r="C10" i="3"/>
  <c r="E7" i="3"/>
  <c r="C7" i="3"/>
  <c r="E6" i="3"/>
  <c r="C6" i="3"/>
  <c r="E5" i="3"/>
  <c r="C5" i="3"/>
</calcChain>
</file>

<file path=xl/sharedStrings.xml><?xml version="1.0" encoding="utf-8"?>
<sst xmlns="http://schemas.openxmlformats.org/spreadsheetml/2006/main" count="525" uniqueCount="431">
  <si>
    <t>EQUITY RESEARCH  ·  INDIAN INFORMATION TECHNOLOGY SECTOR  ·  FY 2023–24</t>
  </si>
  <si>
    <t>TCS  vs  INFOSYS</t>
  </si>
  <si>
    <t>Comparative Financial Analysis  |  Equity Research Report</t>
  </si>
  <si>
    <t xml:space="preserve">  REPORT DETAILS</t>
  </si>
  <si>
    <t>Report Title</t>
  </si>
  <si>
    <t>TCS vs Infosys — Equity Research Report</t>
  </si>
  <si>
    <t>Coverage</t>
  </si>
  <si>
    <t>Tata Consultancy Services Ltd  |  Infosys Ltd</t>
  </si>
  <si>
    <t>Programme</t>
  </si>
  <si>
    <t>Sector</t>
  </si>
  <si>
    <t>Information Technology — IT Services &amp; Consulting</t>
  </si>
  <si>
    <t>Institution</t>
  </si>
  <si>
    <t>Financial Year</t>
  </si>
  <si>
    <t>FY 2023-24 (April 2023 – March 2024)</t>
  </si>
  <si>
    <t>Year</t>
  </si>
  <si>
    <t>Data Standard</t>
  </si>
  <si>
    <t>IFRS Consolidated Annual Reports</t>
  </si>
  <si>
    <t>GitHub</t>
  </si>
  <si>
    <t>Currency</t>
  </si>
  <si>
    <t>Indian Rupees (₹ Crore)  |  1 Crore = ₹10 Million</t>
  </si>
  <si>
    <t>LinkedIn</t>
  </si>
  <si>
    <t>Version</t>
  </si>
  <si>
    <t>v1.0  |  April 2025</t>
  </si>
  <si>
    <t>Email</t>
  </si>
  <si>
    <t>Report Date</t>
  </si>
  <si>
    <t>April 2025</t>
  </si>
  <si>
    <t xml:space="preserve">  TOOLS &amp; METHODOLOGY</t>
  </si>
  <si>
    <t>Data Sources</t>
  </si>
  <si>
    <t>TCS IFRS Consolidated Annual Report FY2023-24  |  Infosys IFRS Consolidated Annual Report FY2023-24  |  SEC EDGAR filings</t>
  </si>
  <si>
    <t>Tools Used</t>
  </si>
  <si>
    <t>Microsoft Excel (Financial Modeling)  |  Python / openpyxl (Automation &amp; Formatting)  |  AI-assisted structuring (Claude by Anthropic)</t>
  </si>
  <si>
    <t>Methodology</t>
  </si>
  <si>
    <t>Common-size analysis  |  Ratio analysis (Liquidity, Profitability, Efficiency, Solvency, Valuation)  |  Comparative scorecard  |  Qualitative investment thesis</t>
  </si>
  <si>
    <t>AI Disclosure</t>
  </si>
  <si>
    <t>AI tools were used to assist with data organisation, formatting, and structuring. All financial figures are sourced directly from official annual reports. Analysis, observations, and investment recommendations represent the author's own judgement.</t>
  </si>
  <si>
    <t xml:space="preserve">  REPORT CONTENTS</t>
  </si>
  <si>
    <t>01</t>
  </si>
  <si>
    <t>Cover</t>
  </si>
  <si>
    <t>Report metadata, analyst profile, tools &amp; methodology</t>
  </si>
  <si>
    <t>02</t>
  </si>
  <si>
    <t>Company Overview</t>
  </si>
  <si>
    <t>Business description and key highlights — TCS &amp; Infosys</t>
  </si>
  <si>
    <t>03</t>
  </si>
  <si>
    <t>Income Statement</t>
  </si>
  <si>
    <t>Common-size P&amp;L for FY2023-24 — ₹ Crore + % of Revenue</t>
  </si>
  <si>
    <t>04</t>
  </si>
  <si>
    <t>Balance Sheet</t>
  </si>
  <si>
    <t>Key assets, liabilities &amp; equity as at March 31, 2024</t>
  </si>
  <si>
    <t>05</t>
  </si>
  <si>
    <t>Financial Ratios</t>
  </si>
  <si>
    <t>Full ratio dashboard — Liquidity, Profitability, Efficiency, Solvency, Valuation</t>
  </si>
  <si>
    <t>06</t>
  </si>
  <si>
    <t>Comparative Scorecard</t>
  </si>
  <si>
    <t>Head-to-head winner analysis across 17 financial metrics</t>
  </si>
  <si>
    <t>07</t>
  </si>
  <si>
    <t>Charts</t>
  </si>
  <si>
    <t>Visual comparison of key ratios and financial performance</t>
  </si>
  <si>
    <t>08</t>
  </si>
  <si>
    <t>Observations &amp; Reco.</t>
  </si>
  <si>
    <t>3 data-backed observations + 2 investment recommendations with ratings</t>
  </si>
  <si>
    <t>COMPANY OVERVIEW</t>
  </si>
  <si>
    <t>TCS</t>
  </si>
  <si>
    <t>Infosys</t>
  </si>
  <si>
    <t>Full Name</t>
  </si>
  <si>
    <t>Tata Consultancy Services Limited</t>
  </si>
  <si>
    <t>Infosys Limited</t>
  </si>
  <si>
    <t>Founded</t>
  </si>
  <si>
    <t>1968</t>
  </si>
  <si>
    <t>1981</t>
  </si>
  <si>
    <t>Headquarters</t>
  </si>
  <si>
    <t>Mumbai, India</t>
  </si>
  <si>
    <t>Bengaluru, India</t>
  </si>
  <si>
    <t>Founders</t>
  </si>
  <si>
    <t>J.R.D. Tata / F.C. Kohli</t>
  </si>
  <si>
    <t>N.R. Narayana Murthy &amp; 6 co-founders</t>
  </si>
  <si>
    <t>Parent Group</t>
  </si>
  <si>
    <t>Tata Group (71.8% stake)</t>
  </si>
  <si>
    <t>Publicly held (no single parent)</t>
  </si>
  <si>
    <t>Listing</t>
  </si>
  <si>
    <t>BSE: 532540 | NSE: TCS</t>
  </si>
  <si>
    <t>BSE: 500209 | NSE: INFY</t>
  </si>
  <si>
    <t>Employees (FY24)</t>
  </si>
  <si>
    <t>~601,546</t>
  </si>
  <si>
    <t>~317,240</t>
  </si>
  <si>
    <t>Countries</t>
  </si>
  <si>
    <t>46+</t>
  </si>
  <si>
    <t>56+</t>
  </si>
  <si>
    <t>Revenue (₹ Cr)</t>
  </si>
  <si>
    <t>2,40,893</t>
  </si>
  <si>
    <t>1,53,670</t>
  </si>
  <si>
    <t>Net Profit (₹ Cr)</t>
  </si>
  <si>
    <t>45,908</t>
  </si>
  <si>
    <t>26,248</t>
  </si>
  <si>
    <t>Market Cap (₹ Cr)</t>
  </si>
  <si>
    <t>~14,40,000 (as of Mar 2024)</t>
  </si>
  <si>
    <t>~6,30,000 (as of Mar 2024)</t>
  </si>
  <si>
    <t>Key Services</t>
  </si>
  <si>
    <t>IT Services, Consulting, BPO, Cloud, AI/ML, Cyber Security</t>
  </si>
  <si>
    <t>IT Services, Consulting, Digital Transformation, Cloud, AI/Automation</t>
  </si>
  <si>
    <t>Major Clients</t>
  </si>
  <si>
    <t>Global BFSI, Retail, Manufacturing (Fortune 500 clients)</t>
  </si>
  <si>
    <t>Global BFSI, Healthcare, Energy, Retail (Fortune 500 clients)</t>
  </si>
  <si>
    <t>Competitive Edge</t>
  </si>
  <si>
    <t>Scale + Tata brand + Highest employee count; #1 IT firm in India</t>
  </si>
  <si>
    <t>Strong margin discipline; Cobalt cloud platform; focused vertical strategy</t>
  </si>
  <si>
    <t>FY24 Revenue Growth</t>
  </si>
  <si>
    <t>6.8% YoY</t>
  </si>
  <si>
    <t>3.0% YoY</t>
  </si>
  <si>
    <t>Operating Margin</t>
  </si>
  <si>
    <t>24.2%</t>
  </si>
  <si>
    <t>20.7%</t>
  </si>
  <si>
    <t>COMMON-SIZE INCOME STATEMENT  |  FY 2023-24  |  ₹ Crore</t>
  </si>
  <si>
    <t>Line Item</t>
  </si>
  <si>
    <t>₹ Crore</t>
  </si>
  <si>
    <t>% Revenue</t>
  </si>
  <si>
    <t xml:space="preserve">  REVENUE</t>
  </si>
  <si>
    <t xml:space="preserve">  Revenue from Operations</t>
  </si>
  <si>
    <t xml:space="preserve">  Other Income (net)</t>
  </si>
  <si>
    <t xml:space="preserve">  Total Income</t>
  </si>
  <si>
    <t xml:space="preserve">  OPERATING EXPENSES</t>
  </si>
  <si>
    <t xml:space="preserve">  Cost of Revenue / Employee Costs</t>
  </si>
  <si>
    <t xml:space="preserve">  Sub-contractors &amp; Technical Costs</t>
  </si>
  <si>
    <t>N/A</t>
  </si>
  <si>
    <t>—</t>
  </si>
  <si>
    <t xml:space="preserve">  Selling, General &amp; Admin Expenses</t>
  </si>
  <si>
    <t xml:space="preserve">  Depreciation &amp; Amortisation</t>
  </si>
  <si>
    <t xml:space="preserve">  Finance Costs</t>
  </si>
  <si>
    <t xml:space="preserve">  Total Expenses</t>
  </si>
  <si>
    <t xml:space="preserve">  PROFITABILITY</t>
  </si>
  <si>
    <t xml:space="preserve">  Gross Profit</t>
  </si>
  <si>
    <t xml:space="preserve">  Operating Profit (EBIT)</t>
  </si>
  <si>
    <t xml:space="preserve">  Profit Before Tax (PBT)</t>
  </si>
  <si>
    <t xml:space="preserve">  Income Tax Expense</t>
  </si>
  <si>
    <t xml:space="preserve">  Net Profit (PAT)</t>
  </si>
  <si>
    <t xml:space="preserve">  Attributable to Shareholders</t>
  </si>
  <si>
    <t xml:space="preserve">  PER SHARE</t>
  </si>
  <si>
    <t xml:space="preserve">  Basic EPS (₹)</t>
  </si>
  <si>
    <t>Source: TCS IFRS Consolidated Annual Report FY2023-24 | Infosys Ind-AS Consolidated Annual Report FY2023-24</t>
  </si>
  <si>
    <t>BALANCE SHEET SNAPSHOT  |  As at March 31, 2024  |  ₹ Crore</t>
  </si>
  <si>
    <t>TCS vs Infosys</t>
  </si>
  <si>
    <t>Note</t>
  </si>
  <si>
    <t xml:space="preserve">  ASSETS</t>
  </si>
  <si>
    <t xml:space="preserve">  Cash &amp; Cash Equivalents</t>
  </si>
  <si>
    <t>Infosys higher by ₹5,770 Cr</t>
  </si>
  <si>
    <t>Infosys holds more liquid cash</t>
  </si>
  <si>
    <t xml:space="preserve">  Short-term Investments</t>
  </si>
  <si>
    <t>TCS higher by ₹18,566 Cr</t>
  </si>
  <si>
    <t>TCS parks surplus in investments</t>
  </si>
  <si>
    <t xml:space="preserve">  Trade Receivables (Billed)</t>
  </si>
  <si>
    <t>TCS higher by ₹14,241 Cr</t>
  </si>
  <si>
    <t>TCS larger due to higher revenue scale</t>
  </si>
  <si>
    <t xml:space="preserve">  Unbilled Revenue</t>
  </si>
  <si>
    <t>Infosys higher by ₹3,625 Cr</t>
  </si>
  <si>
    <t>Infosys has more work-in-progress</t>
  </si>
  <si>
    <t xml:space="preserve">  Other Current Assets</t>
  </si>
  <si>
    <t>Infosys higher by ₹660 Cr</t>
  </si>
  <si>
    <t xml:space="preserve">  Total Current Assets</t>
  </si>
  <si>
    <t>TCS higher by ₹23,552 Cr</t>
  </si>
  <si>
    <t>TCS CA is 26% larger</t>
  </si>
  <si>
    <t xml:space="preserve">  Total Non-Current Assets</t>
  </si>
  <si>
    <t>Infosys higher by ₹12,794 Cr</t>
  </si>
  <si>
    <t>Infosys has more long-term assets</t>
  </si>
  <si>
    <t xml:space="preserve">  TOTAL ASSETS</t>
  </si>
  <si>
    <t>TCS higher by ₹10,758 Cr</t>
  </si>
  <si>
    <t xml:space="preserve">  LIABILITIES</t>
  </si>
  <si>
    <t xml:space="preserve">  Trade Payables</t>
  </si>
  <si>
    <t>TCS higher by ₹6,025 Cr</t>
  </si>
  <si>
    <t>TCS pays suppliers more</t>
  </si>
  <si>
    <t xml:space="preserve">  Other Current Liabilities</t>
  </si>
  <si>
    <t>Infosys higher by ₹4,234 Cr</t>
  </si>
  <si>
    <t>Incl. unearned revenue, provisions, tax</t>
  </si>
  <si>
    <t xml:space="preserve">  Total Current Liabilities</t>
  </si>
  <si>
    <t>TCS higher by ₹7,310 Cr</t>
  </si>
  <si>
    <t xml:space="preserve">  Total Non-Current Liabilities</t>
  </si>
  <si>
    <t>Infosys higher by ₹1,533 Cr</t>
  </si>
  <si>
    <t xml:space="preserve">  TOTAL LIABILITIES</t>
  </si>
  <si>
    <t>TCS higher by ₹5,777 Cr</t>
  </si>
  <si>
    <t xml:space="preserve">  EQUITY</t>
  </si>
  <si>
    <t xml:space="preserve">  Share Capital</t>
  </si>
  <si>
    <t>Infosys higher by ₹1,709 Cr</t>
  </si>
  <si>
    <t>TCS face value ₹1; Infosys ₹5</t>
  </si>
  <si>
    <t xml:space="preserve">  Retained Earnings &amp; Reserves</t>
  </si>
  <si>
    <t>Infosys higher by ₹13,119 Cr</t>
  </si>
  <si>
    <t xml:space="preserve">  Total Equity (shareholders)</t>
  </si>
  <si>
    <t>TCS higher by ₹4,496 Cr</t>
  </si>
  <si>
    <t xml:space="preserve">  Non-Controlling Interests</t>
  </si>
  <si>
    <t>TCS higher by ₹485 Cr</t>
  </si>
  <si>
    <t xml:space="preserve">  TOTAL EQUITY</t>
  </si>
  <si>
    <t>TCS higher by ₹4,981 Cr</t>
  </si>
  <si>
    <t>Both companies are near debt-free</t>
  </si>
  <si>
    <t xml:space="preserve">  TOTAL LIABILITIES + EQUITY</t>
  </si>
  <si>
    <t>Must equal Total Assets ✓</t>
  </si>
  <si>
    <t xml:space="preserve">  KEY BALANCE SHEET METRICS</t>
  </si>
  <si>
    <t xml:space="preserve">  Long-term Financial Debt</t>
  </si>
  <si>
    <t>Both companies carry NO long-term debt</t>
  </si>
  <si>
    <t xml:space="preserve">  Lease Liabilities (total)</t>
  </si>
  <si>
    <t>Infosys higher by ₹306 Cr</t>
  </si>
  <si>
    <t>Operating leases only</t>
  </si>
  <si>
    <t xml:space="preserve">  Working Capital (CA - CL)</t>
  </si>
  <si>
    <t>Positive = healthy liquidity</t>
  </si>
  <si>
    <t xml:space="preserve">  Book Value per Share (₹)</t>
  </si>
  <si>
    <t>TCS higher by ₹42 Cr</t>
  </si>
  <si>
    <t>TCS BV = Equity/shares outstanding</t>
  </si>
  <si>
    <t>Source: TCS IFRS Consolidated | Infosys IFRS Consolidated | March 31, 2024</t>
  </si>
  <si>
    <t>FINANCIAL RATIOS DASHBOARD  |  FY 2023-24</t>
  </si>
  <si>
    <t>Ratio</t>
  </si>
  <si>
    <t>Formula</t>
  </si>
  <si>
    <t>Better</t>
  </si>
  <si>
    <t>Benchmark</t>
  </si>
  <si>
    <t>Interpretation</t>
  </si>
  <si>
    <t xml:space="preserve">  LIQUIDITY RATIOS</t>
  </si>
  <si>
    <t xml:space="preserve">  Current Ratio</t>
  </si>
  <si>
    <t>Current Assets ÷ Current Liabilities</t>
  </si>
  <si>
    <t>≥ 1.5 (IT sector ~2.0)</t>
  </si>
  <si>
    <t>Measures ability to pay short-term bills. Both are well above the safe threshold — TCS has a slight edge.</t>
  </si>
  <si>
    <t xml:space="preserve">  Quick Ratio</t>
  </si>
  <si>
    <t>(Current Assets − Inventory) ÷ Current Liabilities</t>
  </si>
  <si>
    <t>≥ 1.0</t>
  </si>
  <si>
    <t>IT companies carry no physical inventory, so Quick Ratio = Current Ratio. Both are very healthy.</t>
  </si>
  <si>
    <t xml:space="preserve">  Cash Ratio</t>
  </si>
  <si>
    <t>(Cash + Investments) ÷ Current Liabilities</t>
  </si>
  <si>
    <t>≥ 0.5</t>
  </si>
  <si>
    <t>TCS has significantly more liquid assets relative to its short-term obligations.</t>
  </si>
  <si>
    <t xml:space="preserve">  PROFITABILITY RATIOS</t>
  </si>
  <si>
    <t xml:space="preserve">  Gross Profit Margin</t>
  </si>
  <si>
    <t>Gross Profit ÷ Revenue</t>
  </si>
  <si>
    <t>~35-45% (IT)</t>
  </si>
  <si>
    <t>TCS gross margin is 40.4%. Infosys does not separately disclose in same format (comparable EBIT margin used instead).</t>
  </si>
  <si>
    <t xml:space="preserve">  Operating Profit Margin (EBIT)</t>
  </si>
  <si>
    <t>Operating Profit ÷ Revenue</t>
  </si>
  <si>
    <t>~20-26% (IT)</t>
  </si>
  <si>
    <t>TCS operates at 24.2% vs Infosys at 20.7%. TCS's cost discipline and scale advantage show clearly here.</t>
  </si>
  <si>
    <t xml:space="preserve">  Net Profit Margin (PAT)</t>
  </si>
  <si>
    <t>Net Profit ÷ Revenue</t>
  </si>
  <si>
    <t>~15-20% (IT)</t>
  </si>
  <si>
    <t>For every ₹100 of revenue, TCS keeps ₹19.1 as profit vs ₹17.1 for Infosys. Both are world-class margins.</t>
  </si>
  <si>
    <t xml:space="preserve">  Return on Equity (ROE)</t>
  </si>
  <si>
    <t>Net Profit ÷ Average Shareholders' Equity</t>
  </si>
  <si>
    <t>~20-30% (IT); Higher = better</t>
  </si>
  <si>
    <t>TCS ROE is exceptional at 49.1% — driven by buybacks reducing equity base. Infosys at 29.7% is also strong.</t>
  </si>
  <si>
    <t xml:space="preserve">  Return on Assets (ROA)</t>
  </si>
  <si>
    <t>Net Profit ÷ Total Assets</t>
  </si>
  <si>
    <t>&gt;15% is excellent</t>
  </si>
  <si>
    <t>TCS generates ₹31 of profit per ₹100 of assets vs Infosys ₹19. TCS is far more asset-efficient.</t>
  </si>
  <si>
    <t xml:space="preserve">  Return on Capital Employed (ROCE)</t>
  </si>
  <si>
    <t>EBIT ÷ (Total Assets − Current Liabilities)</t>
  </si>
  <si>
    <t>&gt;20% is strong</t>
  </si>
  <si>
    <t>TCS's ROCE of 56.6% is exceptionally high — reflects minimal capital employed in an asset-light model.</t>
  </si>
  <si>
    <t xml:space="preserve">  EFFICIENCY / ACTIVITY RATIOS</t>
  </si>
  <si>
    <t xml:space="preserve">  Debtor Turnover Ratio</t>
  </si>
  <si>
    <t>Revenue ÷ Average Trade Receivables</t>
  </si>
  <si>
    <t>Higher = faster collections</t>
  </si>
  <si>
    <t>TCS collects receivables ~64 days; Infosys ~70 days. TCS is marginally faster at converting sales to cash.</t>
  </si>
  <si>
    <t xml:space="preserve">  Debtor Days (DSO)</t>
  </si>
  <si>
    <t>365 ÷ Debtor Turnover</t>
  </si>
  <si>
    <t>&lt;75 days is healthy for IT</t>
  </si>
  <si>
    <t>Days Sales Outstanding — how many days it takes to collect payment. Both are comfortably within industry norms.</t>
  </si>
  <si>
    <t xml:space="preserve">  Asset Turnover Ratio</t>
  </si>
  <si>
    <t>Revenue ÷ Total Assets</t>
  </si>
  <si>
    <t>Higher = more efficient use of assets</t>
  </si>
  <si>
    <t>TCS generates ₹1.62 of revenue per ₹1 of assets vs ₹1.12 for Infosys — better operational leverage.</t>
  </si>
  <si>
    <t xml:space="preserve">  Inventory Turnover</t>
  </si>
  <si>
    <t>N/A — IT companies hold no inventory</t>
  </si>
  <si>
    <t>Not applicable</t>
  </si>
  <si>
    <t>IT services companies do not carry physical inventory. This ratio is not meaningful for this sector.</t>
  </si>
  <si>
    <t xml:space="preserve">  SOLVENCY / LEVERAGE RATIOS</t>
  </si>
  <si>
    <t xml:space="preserve">  Debt-to-Equity Ratio</t>
  </si>
  <si>
    <t>Total Debt ÷ Shareholders' Equity</t>
  </si>
  <si>
    <t>Both</t>
  </si>
  <si>
    <t>Lower = less risk; &lt;1 is safe</t>
  </si>
  <si>
    <t>Both TCS and Infosys carry ZERO long-term financial debt. They fund operations entirely through equity and cash flows.</t>
  </si>
  <si>
    <t xml:space="preserve">  Debt-to-Assets Ratio</t>
  </si>
  <si>
    <t>Total Liabilities ÷ Total Assets</t>
  </si>
  <si>
    <t>&lt;0.5 is conservative</t>
  </si>
  <si>
    <t>Both are very conservatively financed. Total liabilities are mostly operating (unearned revenue, payables), not debt.</t>
  </si>
  <si>
    <t xml:space="preserve">  Interest Coverage Ratio</t>
  </si>
  <si>
    <t>EBIT ÷ Finance Costs</t>
  </si>
  <si>
    <t>&gt;5x is safe; &gt;10x is excellent</t>
  </si>
  <si>
    <t>TCS can cover its interest 75x over; Infosys 67x. Both are ultra-safe — minimal debt means minimal interest burden.</t>
  </si>
  <si>
    <t xml:space="preserve">  Equity Multiplier</t>
  </si>
  <si>
    <t>Total Assets ÷ Shareholders' Equity</t>
  </si>
  <si>
    <t>Similar</t>
  </si>
  <si>
    <t>Closer to 1 = conservative</t>
  </si>
  <si>
    <t>Both companies are funded almost entirely by equity. Very low leverage — typical for top-tier IT companies.</t>
  </si>
  <si>
    <t xml:space="preserve">  VALUATION RATIOS (as at Mar 2024)</t>
  </si>
  <si>
    <t xml:space="preserve">  Price-to-Earnings (P/E)</t>
  </si>
  <si>
    <t>Market Price per Share ÷ EPS</t>
  </si>
  <si>
    <t>Lower P/E = cheaper valuation</t>
  </si>
  <si>
    <t>TCS trades at a ~25% premium to Infosys, reflecting its #1 market position and brand. Infosys is relatively cheaper.</t>
  </si>
  <si>
    <t>Net Profit ÷ Weighted Avg. Shares</t>
  </si>
  <si>
    <t>Higher = more earnings per share</t>
  </si>
  <si>
    <t>TCS earns ₹125.88 per share vs Infosys ₹63.39. TCS has fewer shares (after buybacks) which boosts EPS.</t>
  </si>
  <si>
    <t xml:space="preserve">  Price-to-Book (P/B)</t>
  </si>
  <si>
    <t>Market Price ÷ Book Value per Share</t>
  </si>
  <si>
    <t>Lower = potentially undervalued</t>
  </si>
  <si>
    <t>Infosys trades at a much lower P/B — TCS premium reflects higher ROE and market dominance.</t>
  </si>
  <si>
    <t xml:space="preserve">  Dividend Yield</t>
  </si>
  <si>
    <t>DPS ÷ Market Price × 100</t>
  </si>
  <si>
    <t>~1.7%</t>
  </si>
  <si>
    <t>~2.8%</t>
  </si>
  <si>
    <t>Higher = more income for investors</t>
  </si>
  <si>
    <t>Infosys offers a higher dividend yield — attractive for income-focused investors. TCS returned capital via buybacks.</t>
  </si>
  <si>
    <t xml:space="preserve">  Market Capitalisation (₹ Cr)</t>
  </si>
  <si>
    <t>Market Price × Total Shares</t>
  </si>
  <si>
    <t>TCS is 2.3x larger</t>
  </si>
  <si>
    <t>TCS is India's 2nd most valuable listed company. Infosys is also among top 10 but significantly smaller by market cap.</t>
  </si>
  <si>
    <t>Source: TCS IFRS &amp; Infosys IFRS Consolidated Annual Reports FY2023-24. Valuation ratios based on March 31, 2024 closing prices.</t>
  </si>
  <si>
    <t>HEAD-TO-HEAD SCORECARD</t>
  </si>
  <si>
    <t>Category</t>
  </si>
  <si>
    <t>Metric</t>
  </si>
  <si>
    <t>Winner</t>
  </si>
  <si>
    <t>Margin of Difference</t>
  </si>
  <si>
    <t>Scale</t>
  </si>
  <si>
    <t>TCS is 57% larger</t>
  </si>
  <si>
    <t>~14,40,000</t>
  </si>
  <si>
    <t>~6,30,000</t>
  </si>
  <si>
    <t>Employee Count</t>
  </si>
  <si>
    <t>6,01,546</t>
  </si>
  <si>
    <t>3,17,240</t>
  </si>
  <si>
    <t>TCS has 90% more employees</t>
  </si>
  <si>
    <t>Profitability</t>
  </si>
  <si>
    <t>Net Profit Margin</t>
  </si>
  <si>
    <t>19.1%</t>
  </si>
  <si>
    <t>17.1%</t>
  </si>
  <si>
    <t>TCS leads by 200 bps</t>
  </si>
  <si>
    <t>Operating Margin (EBIT)</t>
  </si>
  <si>
    <t>TCS leads by 350 bps</t>
  </si>
  <si>
    <t>ROE</t>
  </si>
  <si>
    <t>49.1%</t>
  </si>
  <si>
    <t>29.7%</t>
  </si>
  <si>
    <t>TCS leads by ~20 pp (buyback effect)</t>
  </si>
  <si>
    <t>ROA</t>
  </si>
  <si>
    <t>31.0%</t>
  </si>
  <si>
    <t>19.0%</t>
  </si>
  <si>
    <t>TCS more efficient with assets</t>
  </si>
  <si>
    <t>Liquidity</t>
  </si>
  <si>
    <t>Current Ratio</t>
  </si>
  <si>
    <t>2.45x</t>
  </si>
  <si>
    <t>2.31x</t>
  </si>
  <si>
    <t>Both safe; marginal TCS advantage</t>
  </si>
  <si>
    <t>Cash &amp; Equivalents (₹ Cr)</t>
  </si>
  <si>
    <t>9,016</t>
  </si>
  <si>
    <t>14,786</t>
  </si>
  <si>
    <t>Infosys holds more raw cash</t>
  </si>
  <si>
    <t>Efficiency</t>
  </si>
  <si>
    <t>Debtor Days (DSO)</t>
  </si>
  <si>
    <t>64.5 days</t>
  </si>
  <si>
    <t>69.7 days</t>
  </si>
  <si>
    <t>TCS collects 5 days faster</t>
  </si>
  <si>
    <t>Asset Turnover</t>
  </si>
  <si>
    <t>1.62x</t>
  </si>
  <si>
    <t>1.12x</t>
  </si>
  <si>
    <t>TCS 45% more revenue per ₹ of assets</t>
  </si>
  <si>
    <t>Solvency</t>
  </si>
  <si>
    <t>Debt-to-Equity</t>
  </si>
  <si>
    <t>0.0x</t>
  </si>
  <si>
    <t>Both are debt-free</t>
  </si>
  <si>
    <t>Interest Coverage</t>
  </si>
  <si>
    <t>75x</t>
  </si>
  <si>
    <t>68x</t>
  </si>
  <si>
    <t>Marginal — both are ultra-safe</t>
  </si>
  <si>
    <t>Valuation</t>
  </si>
  <si>
    <t>P/E Ratio</t>
  </si>
  <si>
    <t>32.0x</t>
  </si>
  <si>
    <t>25.5x</t>
  </si>
  <si>
    <t>Infosys is cheaper relative to earnings</t>
  </si>
  <si>
    <t>Dividend Yield</t>
  </si>
  <si>
    <t>Infosys better for dividend income</t>
  </si>
  <si>
    <t>EPS (₹)</t>
  </si>
  <si>
    <t>125.88</t>
  </si>
  <si>
    <t>63.39</t>
  </si>
  <si>
    <t>TCS earns more per share</t>
  </si>
  <si>
    <t>Growth</t>
  </si>
  <si>
    <t>Revenue Growth (YoY)</t>
  </si>
  <si>
    <t>6.8%</t>
  </si>
  <si>
    <t>3.0%</t>
  </si>
  <si>
    <t>TCS grew revenue 2.3x faster</t>
  </si>
  <si>
    <t>SCORECARD SUMMARY</t>
  </si>
  <si>
    <t>🏆  TCS Wins:   13 / 17 metrics</t>
  </si>
  <si>
    <t>🥈  Infosys Wins: 3 / 17 metrics</t>
  </si>
  <si>
    <t>🤝  Tied:        1 / 17 metrics</t>
  </si>
  <si>
    <t>Overall Verdict: TCS dominates on profitability, efficiency, and scale. Infosys is the better pick purely on valuation (lower P/E &amp; P/B) and cash dividend yield — making it more attractive for value or income investors. TCS is the better long-term quality compounder.</t>
  </si>
  <si>
    <t>VISUAL COMPARISON  |  TCS vs INFOSYS  |  FY 2023-24</t>
  </si>
  <si>
    <t>Profitability Margins (%)</t>
  </si>
  <si>
    <t>Liquidity &amp; Efficiency</t>
  </si>
  <si>
    <t>Gross Margin</t>
  </si>
  <si>
    <t>Quick Ratio</t>
  </si>
  <si>
    <t>Cash Ratio</t>
  </si>
  <si>
    <t>Debtor Turnover</t>
  </si>
  <si>
    <t>ROCE</t>
  </si>
  <si>
    <t>Revenue &amp; Profit (₹ Crore)</t>
  </si>
  <si>
    <t>Valuation Metrics</t>
  </si>
  <si>
    <t>Revenue</t>
  </si>
  <si>
    <t>P/E Ratio (x)</t>
  </si>
  <si>
    <t>Operating Profit</t>
  </si>
  <si>
    <t>P/B Ratio (x)</t>
  </si>
  <si>
    <t>Net Profit (PAT)</t>
  </si>
  <si>
    <t>Dividend Yield (%)</t>
  </si>
  <si>
    <t>Total Assets</t>
  </si>
  <si>
    <t>Total Equity</t>
  </si>
  <si>
    <t>Note: Gross Margin shown for TCS only as Infosys uses a different cost classification format. All figures sourced from IFRS Consolidated Annual Reports FY2023-24.</t>
  </si>
  <si>
    <t>OBSERVATIONS  &amp;  INVESTMENT RECOMMENDATIONS</t>
  </si>
  <si>
    <t xml:space="preserve">  KEY OBSERVATIONS</t>
  </si>
  <si>
    <t>Observation 1</t>
  </si>
  <si>
    <t>TCS Maintains a Superior Margin Profile</t>
  </si>
  <si>
    <t>TCS reported an operating margin of 24.2% vs Infosys's 20.7% — a gap of 350 basis points. This reflects TCS's superior scale economics, better pyramid structure (higher ratio of junior to senior staff), and strong operational discipline. TCS also delivered a net margin of 19.1% vs 17.1% for Infosys, demonstrating that cost advantages compound all the way to the bottom line. For a company at this revenue scale (₹2.4 lakh crore), maintaining such margins is a significant competitive moat.</t>
  </si>
  <si>
    <t>Observation 2</t>
  </si>
  <si>
    <t>Both Companies Are Financially Fortress-Like — With Zero Debt</t>
  </si>
  <si>
    <t>Neither TCS nor Infosys carries any long-term financial debt. Both companies are entirely equity-funded, with interest coverage ratios exceeding 60x — which means their operating profits could cover interest obligations 60 to 75 times over. This ultra-conservative balance sheet structure is a hallmark of India's top IT companies and gives them resilience through economic downturns. Infosys actually holds significantly more raw cash (₹14,786 Cr vs TCS's ₹9,016 Cr) despite being a smaller company.</t>
  </si>
  <si>
    <t>Observation 3</t>
  </si>
  <si>
    <t>Infosys Offers Better Valuation; TCS Commands a Quality Premium</t>
  </si>
  <si>
    <t>At FY24 closing prices, TCS traded at ~32x P/E and ~16x P/B — a steep premium over Infosys at ~25.5x P/E and ~7.2x P/B. This valuation gap reflects the market's willingness to pay up for TCS's market leadership, Tata brand backing, and consistently superior returns. However, for investors focused on value, Infosys presents a compelling case — it is the world's second-largest IT company in India, trades at a cheaper multiple, and offers a higher dividend yield (~2.8% vs TCS's ~1.7%). TCS meanwhile returned capital through a ₹17,000 Cr buyback in FY24.</t>
  </si>
  <si>
    <t xml:space="preserve">  INVESTMENT RECOMMENDATIONS</t>
  </si>
  <si>
    <t>Recommendation 1</t>
  </si>
  <si>
    <t>BUY TCS for Long-Term Quality Compounding</t>
  </si>
  <si>
    <t>Rating: ACCUMULATE / BUY on dips  |  Target Horizon: 2-3 years</t>
  </si>
  <si>
    <t>TCS is a rare combination of size, profitability, and consistency. Its 49% ROE, 24% operating margin, and zero debt make it one of the highest quality businesses listed in India. The company's order book hit a record high in FY24, and its exposure to GenAI, cloud, and BFSI sector modernisation provides strong medium-term revenue visibility. While the stock is not cheap at 32x P/E, investors should use market corrections to accumulate. TCS should be treated as a core long-term holding in any Indian equity portfolio. Its Tata group parentage also adds governance comfort that commands a deserved premium.</t>
  </si>
  <si>
    <t>Recommendation 2</t>
  </si>
  <si>
    <t>BUY Infosys for Value + Dividend Income</t>
  </si>
  <si>
    <t>Rating: BUY  |  Target Horizon: 12-18 months  |  Catalyst: Margin improvement</t>
  </si>
  <si>
    <t>Infosys is materially cheaper than TCS on both P/E (25.5x) and P/B (7.2x) — and the valuation discount is not entirely justified by fundamentals. Infosys has a strong management team, a focused digital transformation strategy, and a higher cash dividend yield of ~2.8%. The company's revenue growth of 3% in FY24 was a drag, but early signs of deal ramp-ups and improving discretionary IT spending in the US suggest FY25 could see an acceleration. For investors who want exposure to India's IT sector at a reasonable price with dividend income, Infosys is the preferred pick. Watch for margin expansion toward the 21-22% range as a key positive trigger.</t>
  </si>
  <si>
    <t>DISCLAIMER: This report is prepared solely for educational purposes as part of an academic assignment. It does not constitute financial advice. All investment decisions should be made after independent research and consultation with a registered financial advisor. Past performance is not indicative of future results.</t>
  </si>
  <si>
    <t xml:space="preserve"> PROFILE</t>
  </si>
  <si>
    <t>Name</t>
  </si>
  <si>
    <t>Ashley Brian Rodrigues</t>
  </si>
  <si>
    <t xml:space="preserve">B.Com </t>
  </si>
  <si>
    <t>St. Joseph's College of Commerce</t>
  </si>
  <si>
    <t xml:space="preserve">3rd Year  </t>
  </si>
  <si>
    <t>https://github.com/AshleyBrianRodrigues/Financial-Modeling-and-Valuation-through-MS-Excel.git</t>
  </si>
  <si>
    <t>www.linkedin.com/in/ashleybrianr</t>
  </si>
  <si>
    <t>ashleybrianrodrigues2006@gmail.com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</si>
</sst>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x"/>
    <numFmt numFmtId="166" formatCode="0.0"/>
  </numFmts>
  <fonts count="38" x14ac:knownFonts="1">
    <font>
      <sz val="11"/>
      <color theme="1"/>
      <name val="Calibri"/>
      <family val="2"/>
      <scheme val="minor"/>
    </font>
    <font>
      <b/>
      <sz val="10"/>
      <color rgb="FF0F3460"/>
      <name val="Arial"/>
      <family val="2"/>
    </font>
    <font>
      <sz val="10"/>
      <color rgb="FF000000"/>
      <name val="Arial"/>
      <family val="2"/>
    </font>
    <font>
      <b/>
      <sz val="10"/>
      <color rgb="FFFFFFFF"/>
      <name val="Arial"/>
      <family val="2"/>
    </font>
    <font>
      <b/>
      <sz val="13"/>
      <color rgb="FFF5A623"/>
      <name val="Arial"/>
      <family val="2"/>
    </font>
    <font>
      <b/>
      <sz val="11"/>
      <color rgb="FFFFFFFF"/>
      <name val="Arial"/>
      <family val="2"/>
    </font>
    <font>
      <b/>
      <sz val="10"/>
      <color rgb="FF000000"/>
      <name val="Arial"/>
      <family val="2"/>
    </font>
    <font>
      <b/>
      <sz val="10"/>
      <color rgb="FFF5A623"/>
      <name val="Arial"/>
      <family val="2"/>
    </font>
    <font>
      <sz val="10"/>
      <color rgb="FF00008B"/>
      <name val="Arial"/>
      <family val="2"/>
    </font>
    <font>
      <sz val="10"/>
      <color rgb="FF533483"/>
      <name val="Arial"/>
      <family val="2"/>
    </font>
    <font>
      <b/>
      <sz val="10"/>
      <color rgb="FF00008B"/>
      <name val="Arial"/>
      <family val="2"/>
    </font>
    <font>
      <b/>
      <sz val="10"/>
      <color rgb="FF533483"/>
      <name val="Arial"/>
      <family val="2"/>
    </font>
    <font>
      <i/>
      <sz val="8"/>
      <color rgb="FF7F8C8D"/>
      <name val="Arial"/>
      <family val="2"/>
    </font>
    <font>
      <sz val="9"/>
      <color rgb="FF8E44AD"/>
      <name val="Arial"/>
      <family val="2"/>
    </font>
    <font>
      <sz val="9"/>
      <color rgb="FF5D6D7E"/>
      <name val="Arial"/>
      <family val="2"/>
    </font>
    <font>
      <sz val="9"/>
      <color rgb="FF27AE60"/>
      <name val="Arial"/>
      <family val="2"/>
    </font>
    <font>
      <sz val="9"/>
      <color rgb="FF000000"/>
      <name val="Arial"/>
      <family val="2"/>
    </font>
    <font>
      <i/>
      <sz val="9"/>
      <color rgb="FF5D6D7E"/>
      <name val="Arial"/>
      <family val="2"/>
    </font>
    <font>
      <sz val="9"/>
      <color rgb="FF2C3E50"/>
      <name val="Arial"/>
      <family val="2"/>
    </font>
    <font>
      <b/>
      <sz val="11"/>
      <color rgb="FFF5A623"/>
      <name val="Arial"/>
      <family val="2"/>
    </font>
    <font>
      <b/>
      <sz val="11"/>
      <color rgb="FF145A32"/>
      <name val="Arial"/>
      <family val="2"/>
    </font>
    <font>
      <b/>
      <sz val="11"/>
      <color rgb="FF6C3483"/>
      <name val="Arial"/>
      <family val="2"/>
    </font>
    <font>
      <b/>
      <sz val="11"/>
      <color rgb="FF7D6608"/>
      <name val="Arial"/>
      <family val="2"/>
    </font>
    <font>
      <b/>
      <sz val="11"/>
      <color rgb="FF1A1A2E"/>
      <name val="Arial"/>
      <family val="2"/>
    </font>
    <font>
      <sz val="10"/>
      <color rgb="FF2C3E50"/>
      <name val="Arial"/>
      <family val="2"/>
    </font>
    <font>
      <i/>
      <sz val="9"/>
      <color rgb="FFA8B2C1"/>
      <name val="Arial"/>
      <family val="2"/>
    </font>
    <font>
      <b/>
      <sz val="28"/>
      <color rgb="FFFFFFFF"/>
      <name val="Arial"/>
      <family val="2"/>
    </font>
    <font>
      <sz val="13"/>
      <color rgb="FFF5A623"/>
      <name val="Arial"/>
      <family val="2"/>
    </font>
    <font>
      <b/>
      <sz val="9"/>
      <color rgb="FFF5A623"/>
      <name val="Arial"/>
      <family val="2"/>
    </font>
    <font>
      <b/>
      <sz val="9"/>
      <color rgb="FF0F3460"/>
      <name val="Arial"/>
      <family val="2"/>
    </font>
    <font>
      <b/>
      <sz val="9"/>
      <color rgb="FFFFFFFF"/>
      <name val="Arial"/>
      <family val="2"/>
    </font>
    <font>
      <b/>
      <sz val="9"/>
      <color rgb="FFE94560"/>
      <name val="Arial"/>
      <family val="2"/>
    </font>
    <font>
      <i/>
      <sz val="9"/>
      <color rgb="FF2C3E50"/>
      <name val="Arial"/>
      <family val="2"/>
    </font>
    <font>
      <b/>
      <sz val="9"/>
      <name val="Arial"/>
      <family val="2"/>
    </font>
    <font>
      <sz val="9"/>
      <name val="Arial"/>
      <family val="2"/>
    </font>
    <font>
      <sz val="9"/>
      <color rgb="FF00008B"/>
      <name val="Arial"/>
      <family val="2"/>
    </font>
    <font>
      <sz val="9"/>
      <color rgb="FF533483"/>
      <name val="Arial"/>
      <family val="2"/>
    </font>
    <font>
      <u/>
      <sz val="11"/>
      <color theme="10"/>
      <name val="Calibri"/>
      <family val="2"/>
      <scheme val="minor"/>
    </font>
  </fonts>
  <fills count="18">
    <fill>
      <patternFill patternType="none"/>
    </fill>
    <fill>
      <patternFill patternType="gray125"/>
    </fill>
    <fill>
      <patternFill patternType="solid">
        <fgColor rgb="FF1A1A2E"/>
      </patternFill>
    </fill>
    <fill>
      <patternFill patternType="solid">
        <fgColor rgb="FFE94560"/>
      </patternFill>
    </fill>
    <fill>
      <patternFill patternType="solid">
        <fgColor rgb="FFF7F9FC"/>
      </patternFill>
    </fill>
    <fill>
      <patternFill patternType="solid">
        <fgColor rgb="FF0F3460"/>
      </patternFill>
    </fill>
    <fill>
      <patternFill patternType="solid">
        <fgColor rgb="FF533483"/>
      </patternFill>
    </fill>
    <fill>
      <patternFill patternType="solid">
        <fgColor rgb="FFFFFFFF"/>
      </patternFill>
    </fill>
    <fill>
      <patternFill patternType="solid">
        <fgColor rgb="FF16213E"/>
      </patternFill>
    </fill>
    <fill>
      <patternFill patternType="solid">
        <fgColor rgb="FFDAE8FC"/>
      </patternFill>
    </fill>
    <fill>
      <patternFill patternType="solid">
        <fgColor rgb="FFD5E8D4"/>
      </patternFill>
    </fill>
    <fill>
      <patternFill patternType="solid">
        <fgColor rgb="FFF8F9FA"/>
      </patternFill>
    </fill>
    <fill>
      <patternFill patternType="solid">
        <fgColor rgb="FFFFF2CC"/>
      </patternFill>
    </fill>
    <fill>
      <patternFill patternType="solid">
        <fgColor rgb="FFE1D5E7"/>
      </patternFill>
    </fill>
    <fill>
      <patternFill patternType="solid">
        <fgColor rgb="FFEBF5FB"/>
      </patternFill>
    </fill>
    <fill>
      <patternFill patternType="solid">
        <fgColor rgb="FF27AE60"/>
      </patternFill>
    </fill>
    <fill>
      <patternFill patternType="solid">
        <fgColor rgb="FFF5A623"/>
      </patternFill>
    </fill>
    <fill>
      <patternFill patternType="solid">
        <fgColor rgb="FFFFF0F3"/>
      </patternFill>
    </fill>
  </fills>
  <borders count="5">
    <border>
      <left/>
      <right/>
      <top/>
      <bottom/>
      <diagonal/>
    </border>
    <border>
      <left/>
      <right/>
      <top style="thin">
        <color rgb="FFBDC3C7"/>
      </top>
      <bottom style="thin">
        <color rgb="FFBDC3C7"/>
      </bottom>
      <diagonal/>
    </border>
    <border>
      <left/>
      <right/>
      <top/>
      <bottom style="medium">
        <color rgb="FF2C3E50"/>
      </bottom>
      <diagonal/>
    </border>
    <border>
      <left/>
      <right/>
      <top style="thin">
        <color rgb="FFBDC3C7"/>
      </top>
      <bottom style="thin">
        <color rgb="FFBDC3C7"/>
      </bottom>
      <diagonal/>
    </border>
    <border>
      <left/>
      <right/>
      <top/>
      <bottom style="thin">
        <color rgb="FFBDC3C7"/>
      </bottom>
      <diagonal/>
    </border>
  </borders>
  <cellStyleXfs count="2">
    <xf numFmtId="0" fontId="0" fillId="0" borderId="0"/>
    <xf numFmtId="0" fontId="37" fillId="0" borderId="0" applyNumberFormat="0" applyFill="0" applyBorder="0" applyAlignment="0" applyProtection="0"/>
  </cellStyleXfs>
  <cellXfs count="125">
    <xf numFmtId="0" fontId="0" fillId="0" borderId="0" xfId="0"/>
    <xf numFmtId="0" fontId="2" fillId="4" borderId="1" xfId="0" applyFont="1" applyFill="1" applyBorder="1" applyAlignment="1">
      <alignment horizontal="left" vertical="center"/>
    </xf>
    <xf numFmtId="0" fontId="5" fillId="2"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6" borderId="2" xfId="0" applyFont="1" applyFill="1" applyBorder="1" applyAlignment="1">
      <alignment horizontal="center" vertical="center"/>
    </xf>
    <xf numFmtId="0" fontId="6"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6" fillId="7" borderId="1" xfId="0" applyFont="1" applyFill="1" applyBorder="1" applyAlignment="1">
      <alignment horizontal="left" vertical="center"/>
    </xf>
    <xf numFmtId="0" fontId="2" fillId="7" borderId="1" xfId="0" applyFont="1" applyFill="1" applyBorder="1" applyAlignment="1">
      <alignment horizontal="left" vertical="center" wrapText="1"/>
    </xf>
    <xf numFmtId="0" fontId="3" fillId="5" borderId="2" xfId="0" applyFont="1" applyFill="1" applyBorder="1" applyAlignment="1">
      <alignment horizontal="center" vertical="center"/>
    </xf>
    <xf numFmtId="0" fontId="2" fillId="7" borderId="1" xfId="0" applyFont="1" applyFill="1" applyBorder="1" applyAlignment="1">
      <alignment horizontal="left" vertical="center"/>
    </xf>
    <xf numFmtId="3" fontId="8" fillId="7" borderId="1" xfId="0" applyNumberFormat="1" applyFont="1" applyFill="1" applyBorder="1" applyAlignment="1">
      <alignment horizontal="right" vertical="center"/>
    </xf>
    <xf numFmtId="164" fontId="2" fillId="7" borderId="1" xfId="0" applyNumberFormat="1" applyFont="1" applyFill="1" applyBorder="1" applyAlignment="1">
      <alignment horizontal="right" vertical="center"/>
    </xf>
    <xf numFmtId="3" fontId="9" fillId="7" borderId="1" xfId="0" applyNumberFormat="1" applyFont="1" applyFill="1" applyBorder="1" applyAlignment="1">
      <alignment horizontal="right" vertical="center"/>
    </xf>
    <xf numFmtId="3" fontId="8" fillId="4" borderId="1" xfId="0" applyNumberFormat="1" applyFont="1" applyFill="1" applyBorder="1" applyAlignment="1">
      <alignment horizontal="right" vertical="center"/>
    </xf>
    <xf numFmtId="164" fontId="2" fillId="4" borderId="1" xfId="0" applyNumberFormat="1" applyFont="1" applyFill="1" applyBorder="1" applyAlignment="1">
      <alignment horizontal="right" vertical="center"/>
    </xf>
    <xf numFmtId="3" fontId="9" fillId="4" borderId="1" xfId="0" applyNumberFormat="1" applyFont="1" applyFill="1" applyBorder="1" applyAlignment="1">
      <alignment horizontal="right" vertical="center"/>
    </xf>
    <xf numFmtId="0" fontId="6" fillId="9" borderId="1" xfId="0" applyFont="1" applyFill="1" applyBorder="1" applyAlignment="1">
      <alignment horizontal="left" vertical="center"/>
    </xf>
    <xf numFmtId="164" fontId="6" fillId="9" borderId="1" xfId="0" applyNumberFormat="1" applyFont="1" applyFill="1" applyBorder="1" applyAlignment="1">
      <alignment horizontal="right" vertical="center"/>
    </xf>
    <xf numFmtId="0" fontId="2" fillId="7" borderId="1" xfId="0" applyFont="1" applyFill="1" applyBorder="1" applyAlignment="1">
      <alignment horizontal="right" vertical="center"/>
    </xf>
    <xf numFmtId="0" fontId="2" fillId="4" borderId="1" xfId="0" applyFont="1" applyFill="1" applyBorder="1" applyAlignment="1">
      <alignment horizontal="right" vertical="center"/>
    </xf>
    <xf numFmtId="0" fontId="6" fillId="10" borderId="1" xfId="0" applyFont="1" applyFill="1" applyBorder="1" applyAlignment="1">
      <alignment horizontal="left" vertical="center"/>
    </xf>
    <xf numFmtId="3" fontId="10" fillId="10" borderId="1" xfId="0" applyNumberFormat="1" applyFont="1" applyFill="1" applyBorder="1" applyAlignment="1">
      <alignment horizontal="right" vertical="center"/>
    </xf>
    <xf numFmtId="164" fontId="6" fillId="10" borderId="1" xfId="0" applyNumberFormat="1" applyFont="1" applyFill="1" applyBorder="1" applyAlignment="1">
      <alignment horizontal="right" vertical="center"/>
    </xf>
    <xf numFmtId="3" fontId="11" fillId="10" borderId="1" xfId="0" applyNumberFormat="1" applyFont="1" applyFill="1" applyBorder="1" applyAlignment="1">
      <alignment horizontal="right" vertical="center"/>
    </xf>
    <xf numFmtId="0" fontId="3" fillId="3" borderId="2" xfId="0" applyFont="1" applyFill="1" applyBorder="1" applyAlignment="1">
      <alignment horizontal="center" vertical="center"/>
    </xf>
    <xf numFmtId="0" fontId="3" fillId="6" borderId="2" xfId="0" applyFont="1" applyFill="1" applyBorder="1" applyAlignment="1">
      <alignment horizontal="center" vertical="center"/>
    </xf>
    <xf numFmtId="0" fontId="13"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5" fillId="7" borderId="1" xfId="0" applyFont="1" applyFill="1" applyBorder="1" applyAlignment="1">
      <alignment horizontal="center" vertical="center"/>
    </xf>
    <xf numFmtId="0" fontId="14" fillId="7" borderId="1" xfId="0" applyFont="1" applyFill="1" applyBorder="1" applyAlignment="1">
      <alignment horizontal="left" vertical="center" wrapText="1"/>
    </xf>
    <xf numFmtId="0" fontId="15" fillId="4" borderId="1" xfId="0" applyFont="1" applyFill="1" applyBorder="1" applyAlignment="1">
      <alignment horizontal="center" vertical="center"/>
    </xf>
    <xf numFmtId="0" fontId="13" fillId="7" borderId="1" xfId="0" applyFont="1" applyFill="1" applyBorder="1" applyAlignment="1">
      <alignment horizontal="center" vertical="center"/>
    </xf>
    <xf numFmtId="0" fontId="15" fillId="9" borderId="1" xfId="0" applyFont="1" applyFill="1" applyBorder="1" applyAlignment="1">
      <alignment horizontal="center" vertical="center"/>
    </xf>
    <xf numFmtId="0" fontId="14" fillId="9" borderId="1" xfId="0" applyFont="1" applyFill="1" applyBorder="1" applyAlignment="1">
      <alignment horizontal="left" vertical="center" wrapText="1"/>
    </xf>
    <xf numFmtId="0" fontId="16" fillId="7" borderId="1" xfId="0" applyFont="1" applyFill="1" applyBorder="1" applyAlignment="1">
      <alignment horizontal="left" vertical="center"/>
    </xf>
    <xf numFmtId="3" fontId="10" fillId="9" borderId="1" xfId="0" applyNumberFormat="1" applyFont="1" applyFill="1" applyBorder="1" applyAlignment="1">
      <alignment horizontal="right" vertical="center"/>
    </xf>
    <xf numFmtId="3" fontId="11" fillId="9" borderId="1" xfId="0" applyNumberFormat="1" applyFont="1" applyFill="1" applyBorder="1" applyAlignment="1">
      <alignment horizontal="right" vertical="center"/>
    </xf>
    <xf numFmtId="0" fontId="16" fillId="9" borderId="1" xfId="0" applyFont="1" applyFill="1" applyBorder="1" applyAlignment="1">
      <alignment horizontal="left" vertical="center"/>
    </xf>
    <xf numFmtId="0" fontId="3" fillId="8" borderId="2" xfId="0" applyFont="1" applyFill="1" applyBorder="1" applyAlignment="1">
      <alignment horizontal="center" vertical="center"/>
    </xf>
    <xf numFmtId="0" fontId="17" fillId="4" borderId="1" xfId="0" applyFont="1" applyFill="1" applyBorder="1" applyAlignment="1">
      <alignment horizontal="left" vertical="center" wrapText="1"/>
    </xf>
    <xf numFmtId="165" fontId="8" fillId="4" borderId="1" xfId="0" applyNumberFormat="1" applyFont="1" applyFill="1" applyBorder="1" applyAlignment="1">
      <alignment horizontal="center" vertical="center"/>
    </xf>
    <xf numFmtId="165" fontId="9" fillId="4"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7" fillId="7" borderId="1" xfId="0" applyFont="1" applyFill="1" applyBorder="1" applyAlignment="1">
      <alignment horizontal="left" vertical="center" wrapText="1"/>
    </xf>
    <xf numFmtId="165" fontId="8" fillId="7" borderId="1" xfId="0" applyNumberFormat="1" applyFont="1" applyFill="1" applyBorder="1" applyAlignment="1">
      <alignment horizontal="center" vertical="center"/>
    </xf>
    <xf numFmtId="165" fontId="9" fillId="7" borderId="1" xfId="0" applyNumberFormat="1" applyFont="1" applyFill="1" applyBorder="1" applyAlignment="1">
      <alignment horizontal="center" vertical="center"/>
    </xf>
    <xf numFmtId="0" fontId="18" fillId="7" borderId="1" xfId="0" applyFont="1" applyFill="1" applyBorder="1" applyAlignment="1">
      <alignment horizontal="left" vertical="center" wrapText="1"/>
    </xf>
    <xf numFmtId="0" fontId="2" fillId="4" borderId="1" xfId="0" applyFont="1" applyFill="1" applyBorder="1" applyAlignment="1">
      <alignment horizontal="center" vertical="center"/>
    </xf>
    <xf numFmtId="3" fontId="8" fillId="7" borderId="1" xfId="0" applyNumberFormat="1" applyFont="1" applyFill="1" applyBorder="1" applyAlignment="1">
      <alignment horizontal="center" vertical="center"/>
    </xf>
    <xf numFmtId="3" fontId="9" fillId="7" borderId="1" xfId="0" applyNumberFormat="1" applyFont="1" applyFill="1" applyBorder="1" applyAlignment="1">
      <alignment horizontal="center" vertical="center"/>
    </xf>
    <xf numFmtId="3" fontId="8" fillId="4" borderId="1" xfId="0" applyNumberFormat="1" applyFont="1" applyFill="1" applyBorder="1" applyAlignment="1">
      <alignment horizontal="center" vertical="center"/>
    </xf>
    <xf numFmtId="3" fontId="9" fillId="4"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6" fillId="13" borderId="1" xfId="0" applyFont="1" applyFill="1" applyBorder="1" applyAlignment="1">
      <alignment horizontal="center" vertical="center"/>
    </xf>
    <xf numFmtId="164" fontId="8"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14" fillId="4" borderId="1" xfId="0" applyFont="1" applyFill="1" applyBorder="1" applyAlignment="1">
      <alignment horizontal="left" vertical="center"/>
    </xf>
    <xf numFmtId="0" fontId="8" fillId="7" borderId="1" xfId="0" applyFont="1" applyFill="1" applyBorder="1" applyAlignment="1">
      <alignment horizontal="center" vertical="center"/>
    </xf>
    <xf numFmtId="0" fontId="9" fillId="7" borderId="1" xfId="0" applyFont="1" applyFill="1" applyBorder="1" applyAlignment="1">
      <alignment horizontal="center" vertical="center"/>
    </xf>
    <xf numFmtId="0" fontId="14" fillId="7" borderId="1" xfId="0" applyFont="1" applyFill="1" applyBorder="1" applyAlignment="1">
      <alignment horizontal="left" vertical="center"/>
    </xf>
    <xf numFmtId="0" fontId="3" fillId="5" borderId="1" xfId="0" applyFont="1" applyFill="1" applyBorder="1" applyAlignment="1">
      <alignment horizontal="center" vertical="center"/>
    </xf>
    <xf numFmtId="0" fontId="3" fillId="15" borderId="1" xfId="0" applyFont="1" applyFill="1" applyBorder="1" applyAlignment="1">
      <alignment horizontal="center" vertical="center"/>
    </xf>
    <xf numFmtId="0" fontId="2" fillId="14" borderId="1" xfId="0" applyFont="1" applyFill="1" applyBorder="1" applyAlignment="1">
      <alignment horizontal="left" vertical="center"/>
    </xf>
    <xf numFmtId="0" fontId="29" fillId="4" borderId="4" xfId="0" applyFont="1" applyFill="1" applyBorder="1" applyAlignment="1">
      <alignment horizontal="right" vertical="center"/>
    </xf>
    <xf numFmtId="0" fontId="31" fillId="17" borderId="4" xfId="0" applyFont="1" applyFill="1" applyBorder="1" applyAlignment="1">
      <alignment horizontal="right" vertical="center"/>
    </xf>
    <xf numFmtId="0" fontId="29" fillId="7" borderId="4" xfId="0" applyFont="1" applyFill="1" applyBorder="1" applyAlignment="1">
      <alignment horizontal="right" vertical="center"/>
    </xf>
    <xf numFmtId="0" fontId="31" fillId="7" borderId="4" xfId="0" applyFont="1" applyFill="1" applyBorder="1" applyAlignment="1">
      <alignment horizontal="right" vertical="center"/>
    </xf>
    <xf numFmtId="0" fontId="29" fillId="4" borderId="0" xfId="0" applyFont="1" applyFill="1" applyAlignment="1">
      <alignment horizontal="right" vertical="top"/>
    </xf>
    <xf numFmtId="0" fontId="29" fillId="7" borderId="0" xfId="0" applyFont="1" applyFill="1" applyAlignment="1">
      <alignment horizontal="right" vertical="top"/>
    </xf>
    <xf numFmtId="0" fontId="30" fillId="5" borderId="0" xfId="0" applyFont="1" applyFill="1" applyAlignment="1">
      <alignment horizontal="center" vertical="center"/>
    </xf>
    <xf numFmtId="0" fontId="29" fillId="4" borderId="0" xfId="0" applyFont="1" applyFill="1" applyAlignment="1">
      <alignment horizontal="left" vertical="center" indent="1"/>
    </xf>
    <xf numFmtId="0" fontId="29" fillId="7" borderId="0" xfId="0" applyFont="1" applyFill="1" applyAlignment="1">
      <alignment horizontal="left" vertical="center" indent="1"/>
    </xf>
    <xf numFmtId="0" fontId="33" fillId="4" borderId="0" xfId="0" applyFont="1" applyFill="1" applyAlignment="1">
      <alignment horizontal="center"/>
    </xf>
    <xf numFmtId="0" fontId="34" fillId="0" borderId="0" xfId="0" applyFont="1"/>
    <xf numFmtId="166" fontId="35" fillId="0" borderId="0" xfId="0" applyNumberFormat="1" applyFont="1"/>
    <xf numFmtId="166" fontId="36" fillId="0" borderId="0" xfId="0" applyNumberFormat="1" applyFont="1"/>
    <xf numFmtId="2" fontId="35" fillId="0" borderId="0" xfId="0" applyNumberFormat="1" applyFont="1"/>
    <xf numFmtId="2" fontId="36" fillId="0" borderId="0" xfId="0" applyNumberFormat="1" applyFont="1"/>
    <xf numFmtId="3" fontId="35" fillId="0" borderId="0" xfId="0" applyNumberFormat="1" applyFont="1"/>
    <xf numFmtId="3" fontId="36" fillId="0" borderId="0" xfId="0" applyNumberFormat="1" applyFont="1"/>
    <xf numFmtId="0" fontId="14" fillId="7" borderId="0" xfId="0" applyFont="1" applyFill="1" applyAlignment="1">
      <alignment horizontal="left" vertical="center" indent="1"/>
    </xf>
    <xf numFmtId="0" fontId="0" fillId="0" borderId="0" xfId="0"/>
    <xf numFmtId="0" fontId="18" fillId="7" borderId="4" xfId="0" applyFont="1" applyFill="1" applyBorder="1" applyAlignment="1">
      <alignment horizontal="left" vertical="center" indent="1"/>
    </xf>
    <xf numFmtId="0" fontId="28" fillId="5" borderId="0" xfId="0" applyFont="1" applyFill="1" applyAlignment="1">
      <alignment horizontal="left" vertical="center"/>
    </xf>
    <xf numFmtId="0" fontId="32" fillId="17" borderId="4" xfId="0" applyFont="1" applyFill="1" applyBorder="1" applyAlignment="1">
      <alignment horizontal="left" vertical="center" indent="1"/>
    </xf>
    <xf numFmtId="0" fontId="18" fillId="4" borderId="0" xfId="0" applyFont="1" applyFill="1" applyAlignment="1">
      <alignment horizontal="left" vertical="center" wrapText="1" indent="1"/>
    </xf>
    <xf numFmtId="0" fontId="14" fillId="4" borderId="0" xfId="0" applyFont="1" applyFill="1" applyAlignment="1">
      <alignment horizontal="left" vertical="center" indent="1"/>
    </xf>
    <xf numFmtId="0" fontId="0" fillId="2" borderId="0" xfId="0" applyFill="1"/>
    <xf numFmtId="0" fontId="32" fillId="7" borderId="4" xfId="0" applyFont="1" applyFill="1" applyBorder="1" applyAlignment="1">
      <alignment horizontal="left" vertical="center" indent="1"/>
    </xf>
    <xf numFmtId="0" fontId="25" fillId="2" borderId="0" xfId="0" applyFont="1" applyFill="1" applyAlignment="1">
      <alignment horizontal="center"/>
    </xf>
    <xf numFmtId="0" fontId="18" fillId="7" borderId="0" xfId="0" applyFont="1" applyFill="1" applyAlignment="1">
      <alignment horizontal="left" vertical="center" wrapText="1" indent="1"/>
    </xf>
    <xf numFmtId="0" fontId="27" fillId="2" borderId="0" xfId="0" applyFont="1" applyFill="1" applyAlignment="1">
      <alignment horizontal="center" vertical="top"/>
    </xf>
    <xf numFmtId="0" fontId="32" fillId="7" borderId="0" xfId="0" applyFont="1" applyFill="1" applyAlignment="1">
      <alignment horizontal="left" vertical="center" wrapText="1" indent="1"/>
    </xf>
    <xf numFmtId="0" fontId="26" fillId="2" borderId="0" xfId="0" applyFont="1" applyFill="1" applyAlignment="1">
      <alignment horizontal="center" vertical="center"/>
    </xf>
    <xf numFmtId="0" fontId="28" fillId="8" borderId="0" xfId="0" applyFont="1" applyFill="1" applyAlignment="1">
      <alignment horizontal="left" vertical="center"/>
    </xf>
    <xf numFmtId="0" fontId="18" fillId="4" borderId="4" xfId="0" applyFont="1" applyFill="1" applyBorder="1" applyAlignment="1">
      <alignment horizontal="left" vertical="center" indent="1"/>
    </xf>
    <xf numFmtId="0" fontId="0" fillId="6" borderId="0" xfId="0" applyFill="1"/>
    <xf numFmtId="0" fontId="0" fillId="3" borderId="0" xfId="0" applyFill="1"/>
    <xf numFmtId="0" fontId="0" fillId="16" borderId="0" xfId="0" applyFill="1"/>
    <xf numFmtId="0" fontId="30" fillId="3" borderId="0" xfId="0" applyFont="1" applyFill="1" applyAlignment="1">
      <alignment horizontal="left" vertical="center"/>
    </xf>
    <xf numFmtId="0" fontId="4" fillId="2" borderId="0" xfId="0" applyFont="1" applyFill="1" applyAlignment="1">
      <alignment horizontal="center" vertical="center" wrapText="1"/>
    </xf>
    <xf numFmtId="0" fontId="5" fillId="3" borderId="0" xfId="0" applyFont="1" applyFill="1" applyAlignment="1">
      <alignment horizontal="center" vertical="center" wrapText="1"/>
    </xf>
    <xf numFmtId="0" fontId="12" fillId="11" borderId="0" xfId="0" applyFont="1" applyFill="1" applyAlignment="1">
      <alignment horizontal="left" vertical="center"/>
    </xf>
    <xf numFmtId="0" fontId="5" fillId="6" borderId="0" xfId="0" applyFont="1" applyFill="1" applyAlignment="1">
      <alignment horizontal="center" vertical="center" wrapText="1"/>
    </xf>
    <xf numFmtId="0" fontId="7" fillId="8" borderId="0" xfId="0" applyFont="1" applyFill="1" applyAlignment="1">
      <alignment horizontal="left" vertical="center" wrapText="1"/>
    </xf>
    <xf numFmtId="0" fontId="21" fillId="13" borderId="0" xfId="0" applyFont="1" applyFill="1" applyAlignment="1">
      <alignment horizontal="center" vertical="center"/>
    </xf>
    <xf numFmtId="0" fontId="23" fillId="14" borderId="0" xfId="0" applyFont="1" applyFill="1" applyAlignment="1">
      <alignment horizontal="center" vertical="center" wrapText="1"/>
    </xf>
    <xf numFmtId="0" fontId="20" fillId="10" borderId="0" xfId="0" applyFont="1" applyFill="1" applyAlignment="1">
      <alignment horizontal="center" vertical="center"/>
    </xf>
    <xf numFmtId="0" fontId="19" fillId="8" borderId="0" xfId="0" applyFont="1" applyFill="1" applyAlignment="1">
      <alignment horizontal="center" vertical="center" wrapText="1"/>
    </xf>
    <xf numFmtId="0" fontId="22" fillId="12" borderId="0" xfId="0" applyFont="1" applyFill="1" applyAlignment="1">
      <alignment horizontal="center" vertical="center"/>
    </xf>
    <xf numFmtId="0" fontId="4" fillId="2" borderId="0" xfId="0" applyFont="1" applyFill="1" applyAlignment="1">
      <alignment horizontal="center" vertical="center"/>
    </xf>
    <xf numFmtId="0" fontId="3" fillId="8" borderId="0" xfId="0" applyFont="1" applyFill="1"/>
    <xf numFmtId="0" fontId="5" fillId="5" borderId="1" xfId="0" applyFont="1" applyFill="1" applyBorder="1" applyAlignment="1">
      <alignment horizontal="left" vertical="center"/>
    </xf>
    <xf numFmtId="0" fontId="0" fillId="0" borderId="3" xfId="0" applyBorder="1"/>
    <xf numFmtId="0" fontId="24" fillId="4" borderId="1" xfId="0" applyFont="1" applyFill="1" applyBorder="1" applyAlignment="1">
      <alignment horizontal="left" vertical="top" wrapText="1"/>
    </xf>
    <xf numFmtId="0" fontId="12" fillId="11" borderId="1" xfId="0" applyFont="1" applyFill="1" applyBorder="1" applyAlignment="1">
      <alignment horizontal="left" vertical="center" wrapText="1"/>
    </xf>
    <xf numFmtId="0" fontId="1" fillId="14" borderId="1" xfId="0" applyFont="1" applyFill="1" applyBorder="1" applyAlignment="1">
      <alignment horizontal="left" vertical="center"/>
    </xf>
    <xf numFmtId="0" fontId="19" fillId="8" borderId="0" xfId="0" applyFont="1" applyFill="1" applyAlignment="1">
      <alignment horizontal="left" vertical="center" wrapText="1"/>
    </xf>
    <xf numFmtId="0" fontId="5" fillId="15" borderId="1" xfId="0" applyFont="1" applyFill="1" applyBorder="1" applyAlignment="1">
      <alignment horizontal="left" vertical="center"/>
    </xf>
    <xf numFmtId="0" fontId="37" fillId="17" borderId="4" xfId="1" applyFill="1" applyBorder="1" applyAlignment="1">
      <alignment horizontal="left" vertical="center" indent="1"/>
    </xf>
    <xf numFmtId="0" fontId="37" fillId="7" borderId="4" xfId="1" applyFill="1" applyBorder="1" applyAlignment="1">
      <alignment horizontal="left" vertical="center" inden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10"/>
  <c:chart>
    <c:title>
      <c:tx>
        <c:rich>
          <a:bodyPr/>
          <a:lstStyle/>
          <a:p>
            <a:pPr>
              <a:defRPr/>
            </a:pPr>
            <a:r>
              <a:rPr lang="en-IN"/>
              <a:t>Profitability Metrics (%)</a:t>
            </a:r>
          </a:p>
        </c:rich>
      </c:tx>
      <c:layout/>
      <c:overlay val="1"/>
    </c:title>
    <c:autoTitleDeleted val="0"/>
    <c:plotArea>
      <c:layout/>
      <c:barChart>
        <c:barDir val="col"/>
        <c:grouping val="clustered"/>
        <c:varyColors val="1"/>
        <c:ser>
          <c:idx val="0"/>
          <c:order val="0"/>
          <c:tx>
            <c:strRef>
              <c:f>Charts!$B$4</c:f>
              <c:strCache>
                <c:ptCount val="1"/>
                <c:pt idx="0">
                  <c:v>TCS</c:v>
                </c:pt>
              </c:strCache>
            </c:strRef>
          </c:tx>
          <c:spPr>
            <a:solidFill>
              <a:srgbClr val="E94560"/>
            </a:solidFill>
            <a:ln>
              <a:prstDash val="solid"/>
            </a:ln>
          </c:spPr>
          <c:invertIfNegative val="1"/>
          <c:cat>
            <c:strRef>
              <c:f>Charts!$A$5:$A$10</c:f>
              <c:strCache>
                <c:ptCount val="6"/>
                <c:pt idx="0">
                  <c:v>Gross Margin</c:v>
                </c:pt>
                <c:pt idx="1">
                  <c:v>Operating Margin</c:v>
                </c:pt>
                <c:pt idx="2">
                  <c:v>Net Profit Margin</c:v>
                </c:pt>
                <c:pt idx="3">
                  <c:v>ROE</c:v>
                </c:pt>
                <c:pt idx="4">
                  <c:v>ROA</c:v>
                </c:pt>
                <c:pt idx="5">
                  <c:v>ROCE</c:v>
                </c:pt>
              </c:strCache>
            </c:strRef>
          </c:cat>
          <c:val>
            <c:numRef>
              <c:f>Charts!$B$5:$B$10</c:f>
              <c:numCache>
                <c:formatCode>0.0</c:formatCode>
                <c:ptCount val="6"/>
                <c:pt idx="0">
                  <c:v>40.4</c:v>
                </c:pt>
                <c:pt idx="1">
                  <c:v>24.2</c:v>
                </c:pt>
                <c:pt idx="2">
                  <c:v>19.100000000000001</c:v>
                </c:pt>
                <c:pt idx="3">
                  <c:v>49.1</c:v>
                </c:pt>
                <c:pt idx="4">
                  <c:v>31</c:v>
                </c:pt>
                <c:pt idx="5">
                  <c:v>56.6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Charts!$C$4</c:f>
              <c:strCache>
                <c:ptCount val="1"/>
                <c:pt idx="0">
                  <c:v>Infosys</c:v>
                </c:pt>
              </c:strCache>
            </c:strRef>
          </c:tx>
          <c:spPr>
            <a:solidFill>
              <a:srgbClr val="533483"/>
            </a:solidFill>
            <a:ln>
              <a:prstDash val="solid"/>
            </a:ln>
          </c:spPr>
          <c:invertIfNegative val="1"/>
          <c:cat>
            <c:strRef>
              <c:f>Charts!$A$5:$A$10</c:f>
              <c:strCache>
                <c:ptCount val="6"/>
                <c:pt idx="0">
                  <c:v>Gross Margin</c:v>
                </c:pt>
                <c:pt idx="1">
                  <c:v>Operating Margin</c:v>
                </c:pt>
                <c:pt idx="2">
                  <c:v>Net Profit Margin</c:v>
                </c:pt>
                <c:pt idx="3">
                  <c:v>ROE</c:v>
                </c:pt>
                <c:pt idx="4">
                  <c:v>ROA</c:v>
                </c:pt>
                <c:pt idx="5">
                  <c:v>ROCE</c:v>
                </c:pt>
              </c:strCache>
            </c:strRef>
          </c:cat>
          <c:val>
            <c:numRef>
              <c:f>Charts!$C$5:$C$10</c:f>
              <c:numCache>
                <c:formatCode>0.0</c:formatCode>
                <c:ptCount val="6"/>
                <c:pt idx="0">
                  <c:v>0</c:v>
                </c:pt>
                <c:pt idx="1">
                  <c:v>20.7</c:v>
                </c:pt>
                <c:pt idx="2">
                  <c:v>17.100000000000001</c:v>
                </c:pt>
                <c:pt idx="3">
                  <c:v>29.7</c:v>
                </c:pt>
                <c:pt idx="4">
                  <c:v>19</c:v>
                </c:pt>
                <c:pt idx="5">
                  <c:v>32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150"/>
        <c:axId val="74593424"/>
        <c:axId val="74587440"/>
      </c:barChart>
      <c:catAx>
        <c:axId val="74593424"/>
        <c:scaling>
          <c:orientation val="minMax"/>
        </c:scaling>
        <c:delete val="1"/>
        <c:axPos val="b"/>
        <c:title>
          <c:tx>
            <c:rich>
              <a:bodyPr/>
              <a:lstStyle/>
              <a:p>
                <a:pPr>
                  <a:defRPr/>
                </a:pPr>
                <a:endParaRPr lang="en-IN"/>
              </a:p>
            </c:rich>
          </c:tx>
          <c:layout/>
          <c:overlay val="1"/>
        </c:title>
        <c:numFmt formatCode="General" sourceLinked="1"/>
        <c:majorTickMark val="none"/>
        <c:minorTickMark val="none"/>
        <c:tickLblPos val="nextTo"/>
        <c:crossAx val="74587440"/>
        <c:crosses val="autoZero"/>
        <c:auto val="1"/>
        <c:lblAlgn val="ctr"/>
        <c:lblOffset val="100"/>
        <c:noMultiLvlLbl val="1"/>
      </c:catAx>
      <c:valAx>
        <c:axId val="74587440"/>
        <c:scaling>
          <c:orientation val="minMax"/>
        </c:scaling>
        <c:delete val="1"/>
        <c:axPos val="l"/>
        <c:majorGridlines/>
        <c:title>
          <c:tx>
            <c:rich>
              <a:bodyPr/>
              <a:lstStyle/>
              <a:p>
                <a:pPr>
                  <a:defRPr/>
                </a:pPr>
                <a:r>
                  <a:rPr lang="en-IN"/>
                  <a:t>Percentage (%)</a:t>
                </a:r>
              </a:p>
            </c:rich>
          </c:tx>
          <c:layout/>
          <c:overlay val="1"/>
        </c:title>
        <c:numFmt formatCode="0.0" sourceLinked="1"/>
        <c:majorTickMark val="none"/>
        <c:minorTickMark val="none"/>
        <c:tickLblPos val="nextTo"/>
        <c:crossAx val="74593424"/>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10"/>
  <c:chart>
    <c:title>
      <c:tx>
        <c:rich>
          <a:bodyPr/>
          <a:lstStyle/>
          <a:p>
            <a:pPr>
              <a:defRPr/>
            </a:pPr>
            <a:r>
              <a:rPr lang="en-IN"/>
              <a:t>Liquidity &amp; Efficiency Ratios</a:t>
            </a:r>
          </a:p>
        </c:rich>
      </c:tx>
      <c:layout/>
      <c:overlay val="1"/>
    </c:title>
    <c:autoTitleDeleted val="0"/>
    <c:plotArea>
      <c:layout/>
      <c:barChart>
        <c:barDir val="col"/>
        <c:grouping val="clustered"/>
        <c:varyColors val="1"/>
        <c:ser>
          <c:idx val="0"/>
          <c:order val="0"/>
          <c:tx>
            <c:strRef>
              <c:f>Charts!$N$4</c:f>
              <c:strCache>
                <c:ptCount val="1"/>
                <c:pt idx="0">
                  <c:v>TCS</c:v>
                </c:pt>
              </c:strCache>
            </c:strRef>
          </c:tx>
          <c:spPr>
            <a:solidFill>
              <a:srgbClr val="E94560"/>
            </a:solidFill>
            <a:ln>
              <a:prstDash val="solid"/>
            </a:ln>
          </c:spPr>
          <c:invertIfNegative val="1"/>
          <c:cat>
            <c:strRef>
              <c:f>Charts!$M$5:$M$9</c:f>
              <c:strCache>
                <c:ptCount val="5"/>
                <c:pt idx="0">
                  <c:v>Current Ratio</c:v>
                </c:pt>
                <c:pt idx="1">
                  <c:v>Quick Ratio</c:v>
                </c:pt>
                <c:pt idx="2">
                  <c:v>Cash Ratio</c:v>
                </c:pt>
                <c:pt idx="3">
                  <c:v>Asset Turnover</c:v>
                </c:pt>
                <c:pt idx="4">
                  <c:v>Debtor Turnover</c:v>
                </c:pt>
              </c:strCache>
            </c:strRef>
          </c:cat>
          <c:val>
            <c:numRef>
              <c:f>Charts!$N$5:$N$9</c:f>
              <c:numCache>
                <c:formatCode>0.00</c:formatCode>
                <c:ptCount val="5"/>
                <c:pt idx="0">
                  <c:v>2.4500000000000002</c:v>
                </c:pt>
                <c:pt idx="1">
                  <c:v>2.4500000000000002</c:v>
                </c:pt>
                <c:pt idx="2">
                  <c:v>0.92</c:v>
                </c:pt>
                <c:pt idx="3">
                  <c:v>1.62</c:v>
                </c:pt>
                <c:pt idx="4">
                  <c:v>5.66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Charts!$O$4</c:f>
              <c:strCache>
                <c:ptCount val="1"/>
                <c:pt idx="0">
                  <c:v>Infosys</c:v>
                </c:pt>
              </c:strCache>
            </c:strRef>
          </c:tx>
          <c:spPr>
            <a:solidFill>
              <a:srgbClr val="533483"/>
            </a:solidFill>
            <a:ln>
              <a:prstDash val="solid"/>
            </a:ln>
          </c:spPr>
          <c:invertIfNegative val="1"/>
          <c:cat>
            <c:strRef>
              <c:f>Charts!$M$5:$M$9</c:f>
              <c:strCache>
                <c:ptCount val="5"/>
                <c:pt idx="0">
                  <c:v>Current Ratio</c:v>
                </c:pt>
                <c:pt idx="1">
                  <c:v>Quick Ratio</c:v>
                </c:pt>
                <c:pt idx="2">
                  <c:v>Cash Ratio</c:v>
                </c:pt>
                <c:pt idx="3">
                  <c:v>Asset Turnover</c:v>
                </c:pt>
                <c:pt idx="4">
                  <c:v>Debtor Turnover</c:v>
                </c:pt>
              </c:strCache>
            </c:strRef>
          </c:cat>
          <c:val>
            <c:numRef>
              <c:f>Charts!$O$5:$O$9</c:f>
              <c:numCache>
                <c:formatCode>0.00</c:formatCode>
                <c:ptCount val="5"/>
                <c:pt idx="0">
                  <c:v>2.31</c:v>
                </c:pt>
                <c:pt idx="1">
                  <c:v>2.31</c:v>
                </c:pt>
                <c:pt idx="2">
                  <c:v>0.71</c:v>
                </c:pt>
                <c:pt idx="3">
                  <c:v>1.1200000000000001</c:v>
                </c:pt>
                <c:pt idx="4">
                  <c:v>5.24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150"/>
        <c:axId val="74589072"/>
        <c:axId val="74585808"/>
      </c:barChart>
      <c:catAx>
        <c:axId val="74589072"/>
        <c:scaling>
          <c:orientation val="minMax"/>
        </c:scaling>
        <c:delete val="1"/>
        <c:axPos val="b"/>
        <c:numFmt formatCode="General" sourceLinked="1"/>
        <c:majorTickMark val="none"/>
        <c:minorTickMark val="none"/>
        <c:tickLblPos val="nextTo"/>
        <c:crossAx val="74585808"/>
        <c:crosses val="autoZero"/>
        <c:auto val="1"/>
        <c:lblAlgn val="ctr"/>
        <c:lblOffset val="100"/>
        <c:noMultiLvlLbl val="1"/>
      </c:catAx>
      <c:valAx>
        <c:axId val="74585808"/>
        <c:scaling>
          <c:orientation val="minMax"/>
        </c:scaling>
        <c:delete val="1"/>
        <c:axPos val="l"/>
        <c:majorGridlines/>
        <c:title>
          <c:tx>
            <c:rich>
              <a:bodyPr/>
              <a:lstStyle/>
              <a:p>
                <a:pPr>
                  <a:defRPr/>
                </a:pPr>
                <a:r>
                  <a:rPr lang="en-IN"/>
                  <a:t>Ratio (x)</a:t>
                </a:r>
              </a:p>
            </c:rich>
          </c:tx>
          <c:layout/>
          <c:overlay val="1"/>
        </c:title>
        <c:numFmt formatCode="0.00" sourceLinked="1"/>
        <c:majorTickMark val="none"/>
        <c:minorTickMark val="none"/>
        <c:tickLblPos val="nextTo"/>
        <c:crossAx val="74589072"/>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10"/>
  <c:chart>
    <c:title>
      <c:tx>
        <c:rich>
          <a:bodyPr/>
          <a:lstStyle/>
          <a:p>
            <a:pPr>
              <a:defRPr/>
            </a:pPr>
            <a:r>
              <a:rPr lang="en-IN"/>
              <a:t>Scale Comparison — Revenue &amp; Profit (₹ Crore)</a:t>
            </a:r>
          </a:p>
        </c:rich>
      </c:tx>
      <c:layout/>
      <c:overlay val="1"/>
    </c:title>
    <c:autoTitleDeleted val="0"/>
    <c:plotArea>
      <c:layout/>
      <c:barChart>
        <c:barDir val="bar"/>
        <c:grouping val="clustered"/>
        <c:varyColors val="1"/>
        <c:ser>
          <c:idx val="0"/>
          <c:order val="0"/>
          <c:tx>
            <c:strRef>
              <c:f>Charts!$B$23</c:f>
              <c:strCache>
                <c:ptCount val="1"/>
                <c:pt idx="0">
                  <c:v>TCS</c:v>
                </c:pt>
              </c:strCache>
            </c:strRef>
          </c:tx>
          <c:spPr>
            <a:solidFill>
              <a:srgbClr val="E94560"/>
            </a:solidFill>
            <a:ln>
              <a:prstDash val="solid"/>
            </a:ln>
          </c:spPr>
          <c:invertIfNegative val="1"/>
          <c:cat>
            <c:strRef>
              <c:f>Charts!$A$24:$A$28</c:f>
              <c:strCache>
                <c:ptCount val="5"/>
                <c:pt idx="0">
                  <c:v>Revenue</c:v>
                </c:pt>
                <c:pt idx="1">
                  <c:v>Operating Profit</c:v>
                </c:pt>
                <c:pt idx="2">
                  <c:v>Net Profit (PAT)</c:v>
                </c:pt>
                <c:pt idx="3">
                  <c:v>Total Assets</c:v>
                </c:pt>
                <c:pt idx="4">
                  <c:v>Total Equity</c:v>
                </c:pt>
              </c:strCache>
            </c:strRef>
          </c:cat>
          <c:val>
            <c:numRef>
              <c:f>Charts!$B$24:$B$28</c:f>
              <c:numCache>
                <c:formatCode>#,##0</c:formatCode>
                <c:ptCount val="5"/>
                <c:pt idx="0">
                  <c:v>240893</c:v>
                </c:pt>
                <c:pt idx="1">
                  <c:v>58353</c:v>
                </c:pt>
                <c:pt idx="2">
                  <c:v>46099</c:v>
                </c:pt>
                <c:pt idx="3">
                  <c:v>148572</c:v>
                </c:pt>
                <c:pt idx="4">
                  <c:v>93442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Charts!$C$23</c:f>
              <c:strCache>
                <c:ptCount val="1"/>
                <c:pt idx="0">
                  <c:v>Infosys</c:v>
                </c:pt>
              </c:strCache>
            </c:strRef>
          </c:tx>
          <c:spPr>
            <a:solidFill>
              <a:srgbClr val="533483"/>
            </a:solidFill>
            <a:ln>
              <a:prstDash val="solid"/>
            </a:ln>
          </c:spPr>
          <c:invertIfNegative val="1"/>
          <c:cat>
            <c:strRef>
              <c:f>Charts!$A$24:$A$28</c:f>
              <c:strCache>
                <c:ptCount val="5"/>
                <c:pt idx="0">
                  <c:v>Revenue</c:v>
                </c:pt>
                <c:pt idx="1">
                  <c:v>Operating Profit</c:v>
                </c:pt>
                <c:pt idx="2">
                  <c:v>Net Profit (PAT)</c:v>
                </c:pt>
                <c:pt idx="3">
                  <c:v>Total Assets</c:v>
                </c:pt>
                <c:pt idx="4">
                  <c:v>Total Equity</c:v>
                </c:pt>
              </c:strCache>
            </c:strRef>
          </c:cat>
          <c:val>
            <c:numRef>
              <c:f>Charts!$C$24:$C$28</c:f>
              <c:numCache>
                <c:formatCode>#,##0</c:formatCode>
                <c:ptCount val="5"/>
                <c:pt idx="0">
                  <c:v>153670</c:v>
                </c:pt>
                <c:pt idx="1">
                  <c:v>31769</c:v>
                </c:pt>
                <c:pt idx="2">
                  <c:v>26248</c:v>
                </c:pt>
                <c:pt idx="3">
                  <c:v>137814</c:v>
                </c:pt>
                <c:pt idx="4">
                  <c:v>88461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150"/>
        <c:axId val="74584720"/>
        <c:axId val="74597232"/>
      </c:barChart>
      <c:catAx>
        <c:axId val="74584720"/>
        <c:scaling>
          <c:orientation val="minMax"/>
        </c:scaling>
        <c:delete val="1"/>
        <c:axPos val="l"/>
        <c:title>
          <c:tx>
            <c:rich>
              <a:bodyPr/>
              <a:lstStyle/>
              <a:p>
                <a:pPr>
                  <a:defRPr/>
                </a:pPr>
                <a:r>
                  <a:rPr lang="en-IN"/>
                  <a:t>₹ Crore</a:t>
                </a:r>
              </a:p>
            </c:rich>
          </c:tx>
          <c:layout/>
          <c:overlay val="1"/>
        </c:title>
        <c:numFmt formatCode="General" sourceLinked="1"/>
        <c:majorTickMark val="none"/>
        <c:minorTickMark val="none"/>
        <c:tickLblPos val="nextTo"/>
        <c:crossAx val="74597232"/>
        <c:crosses val="autoZero"/>
        <c:auto val="1"/>
        <c:lblAlgn val="ctr"/>
        <c:lblOffset val="100"/>
        <c:noMultiLvlLbl val="1"/>
      </c:catAx>
      <c:valAx>
        <c:axId val="74597232"/>
        <c:scaling>
          <c:orientation val="minMax"/>
        </c:scaling>
        <c:delete val="1"/>
        <c:axPos val="b"/>
        <c:majorGridlines/>
        <c:numFmt formatCode="#,##0" sourceLinked="1"/>
        <c:majorTickMark val="none"/>
        <c:minorTickMark val="none"/>
        <c:tickLblPos val="nextTo"/>
        <c:crossAx val="74584720"/>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10"/>
  <c:chart>
    <c:title>
      <c:tx>
        <c:rich>
          <a:bodyPr/>
          <a:lstStyle/>
          <a:p>
            <a:pPr>
              <a:defRPr/>
            </a:pPr>
            <a:r>
              <a:rPr lang="en-IN"/>
              <a:t>Valuation Metrics</a:t>
            </a:r>
          </a:p>
        </c:rich>
      </c:tx>
      <c:layout/>
      <c:overlay val="1"/>
    </c:title>
    <c:autoTitleDeleted val="0"/>
    <c:plotArea>
      <c:layout/>
      <c:barChart>
        <c:barDir val="col"/>
        <c:grouping val="clustered"/>
        <c:varyColors val="1"/>
        <c:ser>
          <c:idx val="0"/>
          <c:order val="0"/>
          <c:tx>
            <c:strRef>
              <c:f>Charts!$N$23</c:f>
              <c:strCache>
                <c:ptCount val="1"/>
                <c:pt idx="0">
                  <c:v>TCS</c:v>
                </c:pt>
              </c:strCache>
            </c:strRef>
          </c:tx>
          <c:spPr>
            <a:solidFill>
              <a:srgbClr val="E94560"/>
            </a:solidFill>
            <a:ln>
              <a:prstDash val="solid"/>
            </a:ln>
          </c:spPr>
          <c:invertIfNegative val="1"/>
          <c:cat>
            <c:strRef>
              <c:f>Charts!$M$24:$M$27</c:f>
              <c:strCache>
                <c:ptCount val="4"/>
                <c:pt idx="0">
                  <c:v>P/E Ratio (x)</c:v>
                </c:pt>
                <c:pt idx="1">
                  <c:v>P/B Ratio (x)</c:v>
                </c:pt>
                <c:pt idx="2">
                  <c:v>Dividend Yield (%)</c:v>
                </c:pt>
                <c:pt idx="3">
                  <c:v>EPS (₹)</c:v>
                </c:pt>
              </c:strCache>
            </c:strRef>
          </c:cat>
          <c:val>
            <c:numRef>
              <c:f>Charts!$N$24:$N$27</c:f>
              <c:numCache>
                <c:formatCode>0.0</c:formatCode>
                <c:ptCount val="4"/>
                <c:pt idx="0">
                  <c:v>32</c:v>
                </c:pt>
                <c:pt idx="1">
                  <c:v>16.100000000000001</c:v>
                </c:pt>
                <c:pt idx="2">
                  <c:v>1.7</c:v>
                </c:pt>
                <c:pt idx="3">
                  <c:v>125.9</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ser>
          <c:idx val="1"/>
          <c:order val="1"/>
          <c:tx>
            <c:strRef>
              <c:f>Charts!$O$23</c:f>
              <c:strCache>
                <c:ptCount val="1"/>
                <c:pt idx="0">
                  <c:v>Infosys</c:v>
                </c:pt>
              </c:strCache>
            </c:strRef>
          </c:tx>
          <c:spPr>
            <a:solidFill>
              <a:srgbClr val="533483"/>
            </a:solidFill>
            <a:ln>
              <a:prstDash val="solid"/>
            </a:ln>
          </c:spPr>
          <c:invertIfNegative val="1"/>
          <c:cat>
            <c:strRef>
              <c:f>Charts!$M$24:$M$27</c:f>
              <c:strCache>
                <c:ptCount val="4"/>
                <c:pt idx="0">
                  <c:v>P/E Ratio (x)</c:v>
                </c:pt>
                <c:pt idx="1">
                  <c:v>P/B Ratio (x)</c:v>
                </c:pt>
                <c:pt idx="2">
                  <c:v>Dividend Yield (%)</c:v>
                </c:pt>
                <c:pt idx="3">
                  <c:v>EPS (₹)</c:v>
                </c:pt>
              </c:strCache>
            </c:strRef>
          </c:cat>
          <c:val>
            <c:numRef>
              <c:f>Charts!$O$24:$O$27</c:f>
              <c:numCache>
                <c:formatCode>0.0</c:formatCode>
                <c:ptCount val="4"/>
                <c:pt idx="0">
                  <c:v>25.5</c:v>
                </c:pt>
                <c:pt idx="1">
                  <c:v>7.2</c:v>
                </c:pt>
                <c:pt idx="2">
                  <c:v>2.8</c:v>
                </c:pt>
                <c:pt idx="3">
                  <c:v>63.4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Lst>
        </c:ser>
        <c:dLbls>
          <c:showLegendKey val="0"/>
          <c:showVal val="0"/>
          <c:showCatName val="0"/>
          <c:showSerName val="0"/>
          <c:showPercent val="0"/>
          <c:showBubbleSize val="0"/>
        </c:dLbls>
        <c:gapWidth val="150"/>
        <c:axId val="74586352"/>
        <c:axId val="74590704"/>
      </c:barChart>
      <c:catAx>
        <c:axId val="74586352"/>
        <c:scaling>
          <c:orientation val="minMax"/>
        </c:scaling>
        <c:delete val="1"/>
        <c:axPos val="b"/>
        <c:numFmt formatCode="General" sourceLinked="1"/>
        <c:majorTickMark val="none"/>
        <c:minorTickMark val="none"/>
        <c:tickLblPos val="nextTo"/>
        <c:crossAx val="74590704"/>
        <c:crosses val="autoZero"/>
        <c:auto val="1"/>
        <c:lblAlgn val="ctr"/>
        <c:lblOffset val="100"/>
        <c:noMultiLvlLbl val="1"/>
      </c:catAx>
      <c:valAx>
        <c:axId val="74590704"/>
        <c:scaling>
          <c:orientation val="minMax"/>
        </c:scaling>
        <c:delete val="1"/>
        <c:axPos val="l"/>
        <c:majorGridlines/>
        <c:title>
          <c:tx>
            <c:rich>
              <a:bodyPr/>
              <a:lstStyle/>
              <a:p>
                <a:pPr>
                  <a:defRPr/>
                </a:pPr>
                <a:r>
                  <a:rPr lang="en-IN"/>
                  <a:t>Value</a:t>
                </a:r>
              </a:p>
            </c:rich>
          </c:tx>
          <c:layout/>
          <c:overlay val="1"/>
        </c:title>
        <c:numFmt formatCode="0.0" sourceLinked="1"/>
        <c:majorTickMark val="none"/>
        <c:minorTickMark val="none"/>
        <c:tickLblPos val="nextTo"/>
        <c:crossAx val="74586352"/>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4</xdr:col>
      <xdr:colOff>0</xdr:colOff>
      <xdr:row>2</xdr:row>
      <xdr:rowOff>0</xdr:rowOff>
    </xdr:from>
    <xdr:ext cx="5040000" cy="360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0</xdr:colOff>
      <xdr:row>2</xdr:row>
      <xdr:rowOff>0</xdr:rowOff>
    </xdr:from>
    <xdr:ext cx="5040000" cy="360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21</xdr:row>
      <xdr:rowOff>0</xdr:rowOff>
    </xdr:from>
    <xdr:ext cx="6480000" cy="3600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16</xdr:col>
      <xdr:colOff>0</xdr:colOff>
      <xdr:row>21</xdr:row>
      <xdr:rowOff>0</xdr:rowOff>
    </xdr:from>
    <xdr:ext cx="5040000" cy="3600000"/>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shleybrianrodrigues2006@gmail.com" TargetMode="External"/><Relationship Id="rId2" Type="http://schemas.openxmlformats.org/officeDocument/2006/relationships/hyperlink" Target="http://www.linkedin.com/in/ashleybrianr" TargetMode="External"/><Relationship Id="rId1" Type="http://schemas.openxmlformats.org/officeDocument/2006/relationships/hyperlink" Target="https://github.com/AshleyBrianRodrigues/Financial-Modeling-and-Valuation-through-MS-Excel.gi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1A2E"/>
  </sheetPr>
  <dimension ref="A1:L34"/>
  <sheetViews>
    <sheetView showGridLines="0" topLeftCell="A20" workbookViewId="0">
      <selection activeCell="H15" sqref="H15:L15"/>
    </sheetView>
  </sheetViews>
  <sheetFormatPr defaultRowHeight="14.5" x14ac:dyDescent="0.35"/>
  <cols>
    <col min="1" max="1" width="14" customWidth="1"/>
    <col min="2" max="2" width="20" customWidth="1"/>
    <col min="3" max="5" width="16" customWidth="1"/>
    <col min="6" max="6" width="4" customWidth="1"/>
    <col min="7" max="7" width="14" customWidth="1"/>
    <col min="8" max="8" width="18" customWidth="1"/>
    <col min="9" max="12" width="14" customWidth="1"/>
  </cols>
  <sheetData>
    <row r="1" spans="1:12" ht="6" customHeight="1" x14ac:dyDescent="0.35">
      <c r="A1" s="101"/>
      <c r="B1" s="85"/>
      <c r="C1" s="85"/>
      <c r="D1" s="85"/>
      <c r="E1" s="85"/>
      <c r="F1" s="85"/>
      <c r="G1" s="85"/>
      <c r="H1" s="85"/>
      <c r="I1" s="85"/>
      <c r="J1" s="85"/>
      <c r="K1" s="85"/>
      <c r="L1" s="85"/>
    </row>
    <row r="2" spans="1:12" ht="50" customHeight="1" x14ac:dyDescent="0.35">
      <c r="A2" s="93" t="s">
        <v>0</v>
      </c>
      <c r="B2" s="85"/>
      <c r="C2" s="85"/>
      <c r="D2" s="85"/>
      <c r="E2" s="85"/>
      <c r="F2" s="85"/>
      <c r="G2" s="85"/>
      <c r="H2" s="85"/>
      <c r="I2" s="85"/>
      <c r="J2" s="85"/>
      <c r="K2" s="85"/>
      <c r="L2" s="85"/>
    </row>
    <row r="3" spans="1:12" ht="8" customHeight="1" x14ac:dyDescent="0.35">
      <c r="A3" s="91"/>
      <c r="B3" s="85"/>
      <c r="C3" s="85"/>
      <c r="D3" s="85"/>
      <c r="E3" s="85"/>
      <c r="F3" s="85"/>
      <c r="G3" s="85"/>
      <c r="H3" s="85"/>
      <c r="I3" s="85"/>
      <c r="J3" s="85"/>
      <c r="K3" s="85"/>
      <c r="L3" s="85"/>
    </row>
    <row r="4" spans="1:12" ht="36" customHeight="1" x14ac:dyDescent="0.35">
      <c r="A4" s="97" t="s">
        <v>1</v>
      </c>
      <c r="B4" s="85"/>
      <c r="C4" s="85"/>
      <c r="D4" s="85"/>
      <c r="E4" s="85"/>
      <c r="F4" s="85"/>
      <c r="G4" s="85"/>
      <c r="H4" s="85"/>
      <c r="I4" s="85"/>
      <c r="J4" s="85"/>
      <c r="K4" s="85"/>
      <c r="L4" s="85"/>
    </row>
    <row r="5" spans="1:12" ht="28" customHeight="1" x14ac:dyDescent="0.35">
      <c r="A5" s="95" t="s">
        <v>2</v>
      </c>
      <c r="B5" s="85"/>
      <c r="C5" s="85"/>
      <c r="D5" s="85"/>
      <c r="E5" s="85"/>
      <c r="F5" s="85"/>
      <c r="G5" s="85"/>
      <c r="H5" s="85"/>
      <c r="I5" s="85"/>
      <c r="J5" s="85"/>
      <c r="K5" s="85"/>
      <c r="L5" s="85"/>
    </row>
    <row r="6" spans="1:12" ht="4" customHeight="1" x14ac:dyDescent="0.35">
      <c r="A6" s="102"/>
      <c r="B6" s="85"/>
      <c r="C6" s="85"/>
      <c r="D6" s="85"/>
      <c r="E6" s="85"/>
      <c r="F6" s="85"/>
      <c r="G6" s="85"/>
      <c r="H6" s="85"/>
      <c r="I6" s="85"/>
      <c r="J6" s="85"/>
      <c r="K6" s="85"/>
      <c r="L6" s="85"/>
    </row>
    <row r="7" spans="1:12" ht="22" customHeight="1" x14ac:dyDescent="0.35">
      <c r="A7" s="87" t="s">
        <v>3</v>
      </c>
      <c r="B7" s="85"/>
      <c r="C7" s="85"/>
      <c r="D7" s="85"/>
      <c r="E7" s="85"/>
      <c r="G7" s="103" t="s">
        <v>422</v>
      </c>
      <c r="H7" s="85"/>
      <c r="I7" s="85"/>
      <c r="J7" s="85"/>
      <c r="K7" s="85"/>
      <c r="L7" s="85"/>
    </row>
    <row r="8" spans="1:12" ht="20" customHeight="1" x14ac:dyDescent="0.35">
      <c r="A8" s="67" t="s">
        <v>4</v>
      </c>
      <c r="B8" s="99" t="s">
        <v>5</v>
      </c>
      <c r="C8" s="85"/>
      <c r="D8" s="85"/>
      <c r="E8" s="85"/>
      <c r="G8" s="68" t="s">
        <v>423</v>
      </c>
      <c r="H8" s="88" t="s">
        <v>424</v>
      </c>
      <c r="I8" s="85"/>
      <c r="J8" s="85"/>
      <c r="K8" s="85"/>
      <c r="L8" s="85"/>
    </row>
    <row r="9" spans="1:12" ht="20" customHeight="1" x14ac:dyDescent="0.35">
      <c r="A9" s="69" t="s">
        <v>6</v>
      </c>
      <c r="B9" s="86" t="s">
        <v>7</v>
      </c>
      <c r="C9" s="85"/>
      <c r="D9" s="85"/>
      <c r="E9" s="85"/>
      <c r="G9" s="70" t="s">
        <v>8</v>
      </c>
      <c r="H9" s="92" t="s">
        <v>425</v>
      </c>
      <c r="I9" s="85"/>
      <c r="J9" s="85"/>
      <c r="K9" s="85"/>
      <c r="L9" s="85"/>
    </row>
    <row r="10" spans="1:12" ht="20" customHeight="1" x14ac:dyDescent="0.35">
      <c r="A10" s="67" t="s">
        <v>9</v>
      </c>
      <c r="B10" s="99" t="s">
        <v>10</v>
      </c>
      <c r="C10" s="85"/>
      <c r="D10" s="85"/>
      <c r="E10" s="85"/>
      <c r="G10" s="68" t="s">
        <v>11</v>
      </c>
      <c r="H10" s="88" t="s">
        <v>426</v>
      </c>
      <c r="I10" s="85"/>
      <c r="J10" s="85"/>
      <c r="K10" s="85"/>
      <c r="L10" s="85"/>
    </row>
    <row r="11" spans="1:12" ht="20" customHeight="1" x14ac:dyDescent="0.35">
      <c r="A11" s="69" t="s">
        <v>12</v>
      </c>
      <c r="B11" s="86" t="s">
        <v>13</v>
      </c>
      <c r="C11" s="85"/>
      <c r="D11" s="85"/>
      <c r="E11" s="85"/>
      <c r="G11" s="70" t="s">
        <v>14</v>
      </c>
      <c r="H11" s="92" t="s">
        <v>427</v>
      </c>
      <c r="I11" s="85"/>
      <c r="J11" s="85"/>
      <c r="K11" s="85"/>
      <c r="L11" s="85"/>
    </row>
    <row r="12" spans="1:12" ht="20" customHeight="1" x14ac:dyDescent="0.35">
      <c r="A12" s="67" t="s">
        <v>15</v>
      </c>
      <c r="B12" s="99" t="s">
        <v>16</v>
      </c>
      <c r="C12" s="85"/>
      <c r="D12" s="85"/>
      <c r="E12" s="85"/>
      <c r="G12" s="68" t="s">
        <v>17</v>
      </c>
      <c r="H12" s="123" t="s">
        <v>428</v>
      </c>
      <c r="I12" s="85"/>
      <c r="J12" s="85"/>
      <c r="K12" s="85"/>
      <c r="L12" s="85"/>
    </row>
    <row r="13" spans="1:12" ht="20" customHeight="1" x14ac:dyDescent="0.35">
      <c r="A13" s="69" t="s">
        <v>18</v>
      </c>
      <c r="B13" s="86" t="s">
        <v>19</v>
      </c>
      <c r="C13" s="85"/>
      <c r="D13" s="85"/>
      <c r="E13" s="85"/>
      <c r="G13" s="70" t="s">
        <v>20</v>
      </c>
      <c r="H13" s="124" t="s">
        <v>429</v>
      </c>
      <c r="I13" s="85"/>
      <c r="J13" s="85"/>
      <c r="K13" s="85"/>
      <c r="L13" s="85"/>
    </row>
    <row r="14" spans="1:12" ht="20" customHeight="1" x14ac:dyDescent="0.35">
      <c r="A14" s="67" t="s">
        <v>21</v>
      </c>
      <c r="B14" s="99" t="s">
        <v>22</v>
      </c>
      <c r="C14" s="85"/>
      <c r="D14" s="85"/>
      <c r="E14" s="85"/>
      <c r="G14" s="68" t="s">
        <v>23</v>
      </c>
      <c r="H14" s="123" t="s">
        <v>430</v>
      </c>
      <c r="I14" s="85"/>
      <c r="J14" s="85"/>
      <c r="K14" s="85"/>
      <c r="L14" s="85"/>
    </row>
    <row r="15" spans="1:12" ht="20" customHeight="1" x14ac:dyDescent="0.35">
      <c r="A15" s="69" t="s">
        <v>24</v>
      </c>
      <c r="B15" s="86" t="s">
        <v>25</v>
      </c>
      <c r="C15" s="85"/>
      <c r="D15" s="85"/>
      <c r="E15" s="85"/>
      <c r="G15" s="70"/>
      <c r="H15" s="86"/>
      <c r="I15" s="85"/>
      <c r="J15" s="85"/>
      <c r="K15" s="85"/>
      <c r="L15" s="85"/>
    </row>
    <row r="16" spans="1:12" ht="22" customHeight="1" x14ac:dyDescent="0.35"/>
    <row r="17" spans="1:12" ht="22" customHeight="1" x14ac:dyDescent="0.35"/>
    <row r="18" spans="1:12" ht="6" customHeight="1" x14ac:dyDescent="0.35"/>
    <row r="19" spans="1:12" ht="22" customHeight="1" x14ac:dyDescent="0.35">
      <c r="A19" s="98" t="s">
        <v>26</v>
      </c>
      <c r="B19" s="85"/>
      <c r="C19" s="85"/>
      <c r="D19" s="85"/>
      <c r="E19" s="85"/>
      <c r="F19" s="85"/>
      <c r="G19" s="85"/>
      <c r="H19" s="85"/>
      <c r="I19" s="85"/>
      <c r="J19" s="85"/>
      <c r="K19" s="85"/>
      <c r="L19" s="85"/>
    </row>
    <row r="20" spans="1:12" ht="28" customHeight="1" x14ac:dyDescent="0.35">
      <c r="A20" s="71" t="s">
        <v>27</v>
      </c>
      <c r="B20" s="89" t="s">
        <v>28</v>
      </c>
      <c r="C20" s="85"/>
      <c r="D20" s="85"/>
      <c r="E20" s="85"/>
      <c r="F20" s="85"/>
      <c r="G20" s="85"/>
      <c r="H20" s="85"/>
      <c r="I20" s="85"/>
      <c r="J20" s="85"/>
      <c r="K20" s="85"/>
      <c r="L20" s="85"/>
    </row>
    <row r="21" spans="1:12" ht="28" customHeight="1" x14ac:dyDescent="0.35">
      <c r="A21" s="72" t="s">
        <v>29</v>
      </c>
      <c r="B21" s="94" t="s">
        <v>30</v>
      </c>
      <c r="C21" s="85"/>
      <c r="D21" s="85"/>
      <c r="E21" s="85"/>
      <c r="F21" s="85"/>
      <c r="G21" s="85"/>
      <c r="H21" s="85"/>
      <c r="I21" s="85"/>
      <c r="J21" s="85"/>
      <c r="K21" s="85"/>
      <c r="L21" s="85"/>
    </row>
    <row r="22" spans="1:12" ht="28" customHeight="1" x14ac:dyDescent="0.35">
      <c r="A22" s="71" t="s">
        <v>31</v>
      </c>
      <c r="B22" s="89" t="s">
        <v>32</v>
      </c>
      <c r="C22" s="85"/>
      <c r="D22" s="85"/>
      <c r="E22" s="85"/>
      <c r="F22" s="85"/>
      <c r="G22" s="85"/>
      <c r="H22" s="85"/>
      <c r="I22" s="85"/>
      <c r="J22" s="85"/>
      <c r="K22" s="85"/>
      <c r="L22" s="85"/>
    </row>
    <row r="23" spans="1:12" ht="28" customHeight="1" x14ac:dyDescent="0.35">
      <c r="A23" s="72" t="s">
        <v>33</v>
      </c>
      <c r="B23" s="96" t="s">
        <v>34</v>
      </c>
      <c r="C23" s="85"/>
      <c r="D23" s="85"/>
      <c r="E23" s="85"/>
      <c r="F23" s="85"/>
      <c r="G23" s="85"/>
      <c r="H23" s="85"/>
      <c r="I23" s="85"/>
      <c r="J23" s="85"/>
      <c r="K23" s="85"/>
      <c r="L23" s="85"/>
    </row>
    <row r="24" spans="1:12" ht="6" customHeight="1" x14ac:dyDescent="0.35"/>
    <row r="25" spans="1:12" ht="18" customHeight="1" x14ac:dyDescent="0.35">
      <c r="A25" s="87" t="s">
        <v>35</v>
      </c>
      <c r="B25" s="85"/>
      <c r="C25" s="85"/>
      <c r="D25" s="85"/>
      <c r="E25" s="85"/>
      <c r="F25" s="85"/>
      <c r="G25" s="85"/>
      <c r="H25" s="85"/>
      <c r="I25" s="85"/>
      <c r="J25" s="85"/>
      <c r="K25" s="85"/>
      <c r="L25" s="85"/>
    </row>
    <row r="26" spans="1:12" ht="18" customHeight="1" x14ac:dyDescent="0.35">
      <c r="A26" s="73" t="s">
        <v>36</v>
      </c>
      <c r="B26" s="74" t="s">
        <v>37</v>
      </c>
      <c r="C26" s="90" t="s">
        <v>38</v>
      </c>
      <c r="D26" s="85"/>
      <c r="E26" s="85"/>
      <c r="F26" s="85"/>
      <c r="G26" s="85"/>
      <c r="H26" s="85"/>
      <c r="I26" s="85"/>
      <c r="J26" s="85"/>
      <c r="K26" s="85"/>
      <c r="L26" s="85"/>
    </row>
    <row r="27" spans="1:12" ht="18" customHeight="1" x14ac:dyDescent="0.35">
      <c r="A27" s="73" t="s">
        <v>39</v>
      </c>
      <c r="B27" s="75" t="s">
        <v>40</v>
      </c>
      <c r="C27" s="84" t="s">
        <v>41</v>
      </c>
      <c r="D27" s="85"/>
      <c r="E27" s="85"/>
      <c r="F27" s="85"/>
      <c r="G27" s="85"/>
      <c r="H27" s="85"/>
      <c r="I27" s="85"/>
      <c r="J27" s="85"/>
      <c r="K27" s="85"/>
      <c r="L27" s="85"/>
    </row>
    <row r="28" spans="1:12" ht="18" customHeight="1" x14ac:dyDescent="0.35">
      <c r="A28" s="73" t="s">
        <v>42</v>
      </c>
      <c r="B28" s="74" t="s">
        <v>43</v>
      </c>
      <c r="C28" s="90" t="s">
        <v>44</v>
      </c>
      <c r="D28" s="85"/>
      <c r="E28" s="85"/>
      <c r="F28" s="85"/>
      <c r="G28" s="85"/>
      <c r="H28" s="85"/>
      <c r="I28" s="85"/>
      <c r="J28" s="85"/>
      <c r="K28" s="85"/>
      <c r="L28" s="85"/>
    </row>
    <row r="29" spans="1:12" ht="18" customHeight="1" x14ac:dyDescent="0.35">
      <c r="A29" s="73" t="s">
        <v>45</v>
      </c>
      <c r="B29" s="75" t="s">
        <v>46</v>
      </c>
      <c r="C29" s="84" t="s">
        <v>47</v>
      </c>
      <c r="D29" s="85"/>
      <c r="E29" s="85"/>
      <c r="F29" s="85"/>
      <c r="G29" s="85"/>
      <c r="H29" s="85"/>
      <c r="I29" s="85"/>
      <c r="J29" s="85"/>
      <c r="K29" s="85"/>
      <c r="L29" s="85"/>
    </row>
    <row r="30" spans="1:12" ht="18" customHeight="1" x14ac:dyDescent="0.35">
      <c r="A30" s="73" t="s">
        <v>48</v>
      </c>
      <c r="B30" s="74" t="s">
        <v>49</v>
      </c>
      <c r="C30" s="90" t="s">
        <v>50</v>
      </c>
      <c r="D30" s="85"/>
      <c r="E30" s="85"/>
      <c r="F30" s="85"/>
      <c r="G30" s="85"/>
      <c r="H30" s="85"/>
      <c r="I30" s="85"/>
      <c r="J30" s="85"/>
      <c r="K30" s="85"/>
      <c r="L30" s="85"/>
    </row>
    <row r="31" spans="1:12" ht="18" customHeight="1" x14ac:dyDescent="0.35">
      <c r="A31" s="73" t="s">
        <v>51</v>
      </c>
      <c r="B31" s="75" t="s">
        <v>52</v>
      </c>
      <c r="C31" s="84" t="s">
        <v>53</v>
      </c>
      <c r="D31" s="85"/>
      <c r="E31" s="85"/>
      <c r="F31" s="85"/>
      <c r="G31" s="85"/>
      <c r="H31" s="85"/>
      <c r="I31" s="85"/>
      <c r="J31" s="85"/>
      <c r="K31" s="85"/>
      <c r="L31" s="85"/>
    </row>
    <row r="32" spans="1:12" ht="18" customHeight="1" x14ac:dyDescent="0.35">
      <c r="A32" s="73" t="s">
        <v>54</v>
      </c>
      <c r="B32" s="74" t="s">
        <v>55</v>
      </c>
      <c r="C32" s="90" t="s">
        <v>56</v>
      </c>
      <c r="D32" s="85"/>
      <c r="E32" s="85"/>
      <c r="F32" s="85"/>
      <c r="G32" s="85"/>
      <c r="H32" s="85"/>
      <c r="I32" s="85"/>
      <c r="J32" s="85"/>
      <c r="K32" s="85"/>
      <c r="L32" s="85"/>
    </row>
    <row r="33" spans="1:12" ht="18" customHeight="1" x14ac:dyDescent="0.35">
      <c r="A33" s="73" t="s">
        <v>57</v>
      </c>
      <c r="B33" s="75" t="s">
        <v>58</v>
      </c>
      <c r="C33" s="84" t="s">
        <v>59</v>
      </c>
      <c r="D33" s="85"/>
      <c r="E33" s="85"/>
      <c r="F33" s="85"/>
      <c r="G33" s="85"/>
      <c r="H33" s="85"/>
      <c r="I33" s="85"/>
      <c r="J33" s="85"/>
      <c r="K33" s="85"/>
      <c r="L33" s="85"/>
    </row>
    <row r="34" spans="1:12" ht="4" customHeight="1" x14ac:dyDescent="0.35">
      <c r="A34" s="100"/>
      <c r="B34" s="85"/>
      <c r="C34" s="85"/>
      <c r="D34" s="85"/>
      <c r="E34" s="85"/>
      <c r="F34" s="85"/>
      <c r="G34" s="85"/>
      <c r="H34" s="85"/>
      <c r="I34" s="85"/>
      <c r="J34" s="85"/>
      <c r="K34" s="85"/>
      <c r="L34" s="85"/>
    </row>
  </sheetData>
  <mergeCells count="39">
    <mergeCell ref="A1:L1"/>
    <mergeCell ref="B20:L20"/>
    <mergeCell ref="A6:L6"/>
    <mergeCell ref="H14:L14"/>
    <mergeCell ref="B10:E10"/>
    <mergeCell ref="H8:L8"/>
    <mergeCell ref="G7:L7"/>
    <mergeCell ref="A34:L34"/>
    <mergeCell ref="B14:E14"/>
    <mergeCell ref="B8:E8"/>
    <mergeCell ref="C31:L31"/>
    <mergeCell ref="H12:L12"/>
    <mergeCell ref="B13:E13"/>
    <mergeCell ref="H15:L15"/>
    <mergeCell ref="C33:L33"/>
    <mergeCell ref="A4:L4"/>
    <mergeCell ref="H11:L11"/>
    <mergeCell ref="A19:L19"/>
    <mergeCell ref="B12:E12"/>
    <mergeCell ref="C26:L26"/>
    <mergeCell ref="C29:L29"/>
    <mergeCell ref="B11:E11"/>
    <mergeCell ref="H13:L13"/>
    <mergeCell ref="C32:L32"/>
    <mergeCell ref="A3:L3"/>
    <mergeCell ref="C28:L28"/>
    <mergeCell ref="H9:L9"/>
    <mergeCell ref="A2:L2"/>
    <mergeCell ref="B21:L21"/>
    <mergeCell ref="A7:E7"/>
    <mergeCell ref="A5:L5"/>
    <mergeCell ref="C30:L30"/>
    <mergeCell ref="B23:L23"/>
    <mergeCell ref="C27:L27"/>
    <mergeCell ref="B9:E9"/>
    <mergeCell ref="A25:L25"/>
    <mergeCell ref="H10:L10"/>
    <mergeCell ref="B15:E15"/>
    <mergeCell ref="B22:L22"/>
  </mergeCells>
  <hyperlinks>
    <hyperlink ref="H12" r:id="rId1"/>
    <hyperlink ref="H13" r:id="rId2"/>
    <hyperlink ref="H14" r:id="rId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3460"/>
  </sheetPr>
  <dimension ref="A1:H18"/>
  <sheetViews>
    <sheetView showGridLines="0" topLeftCell="A8" workbookViewId="0">
      <selection sqref="A1:H1"/>
    </sheetView>
  </sheetViews>
  <sheetFormatPr defaultRowHeight="14.5" x14ac:dyDescent="0.35"/>
  <cols>
    <col min="1" max="1" width="24" customWidth="1"/>
    <col min="2" max="3" width="52" customWidth="1"/>
  </cols>
  <sheetData>
    <row r="1" spans="1:8" ht="28" customHeight="1" x14ac:dyDescent="0.35">
      <c r="A1" s="104" t="s">
        <v>60</v>
      </c>
      <c r="B1" s="85"/>
      <c r="C1" s="85"/>
      <c r="D1" s="85"/>
      <c r="E1" s="85"/>
      <c r="F1" s="85"/>
      <c r="G1" s="85"/>
      <c r="H1" s="85"/>
    </row>
    <row r="2" spans="1:8" ht="24" customHeight="1" x14ac:dyDescent="0.35">
      <c r="A2" s="2"/>
      <c r="B2" s="3" t="s">
        <v>61</v>
      </c>
      <c r="C2" s="4" t="s">
        <v>62</v>
      </c>
    </row>
    <row r="3" spans="1:8" ht="22" customHeight="1" x14ac:dyDescent="0.35">
      <c r="A3" s="5" t="s">
        <v>63</v>
      </c>
      <c r="B3" s="6" t="s">
        <v>64</v>
      </c>
      <c r="C3" s="6" t="s">
        <v>65</v>
      </c>
    </row>
    <row r="4" spans="1:8" ht="22" customHeight="1" x14ac:dyDescent="0.35">
      <c r="A4" s="7" t="s">
        <v>66</v>
      </c>
      <c r="B4" s="8" t="s">
        <v>67</v>
      </c>
      <c r="C4" s="8" t="s">
        <v>68</v>
      </c>
    </row>
    <row r="5" spans="1:8" ht="22" customHeight="1" x14ac:dyDescent="0.35">
      <c r="A5" s="5" t="s">
        <v>69</v>
      </c>
      <c r="B5" s="6" t="s">
        <v>70</v>
      </c>
      <c r="C5" s="6" t="s">
        <v>71</v>
      </c>
    </row>
    <row r="6" spans="1:8" ht="22" customHeight="1" x14ac:dyDescent="0.35">
      <c r="A6" s="7" t="s">
        <v>72</v>
      </c>
      <c r="B6" s="8" t="s">
        <v>73</v>
      </c>
      <c r="C6" s="8" t="s">
        <v>74</v>
      </c>
    </row>
    <row r="7" spans="1:8" ht="22" customHeight="1" x14ac:dyDescent="0.35">
      <c r="A7" s="5" t="s">
        <v>75</v>
      </c>
      <c r="B7" s="6" t="s">
        <v>76</v>
      </c>
      <c r="C7" s="6" t="s">
        <v>77</v>
      </c>
    </row>
    <row r="8" spans="1:8" ht="22" customHeight="1" x14ac:dyDescent="0.35">
      <c r="A8" s="7" t="s">
        <v>78</v>
      </c>
      <c r="B8" s="8" t="s">
        <v>79</v>
      </c>
      <c r="C8" s="8" t="s">
        <v>80</v>
      </c>
    </row>
    <row r="9" spans="1:8" ht="22" customHeight="1" x14ac:dyDescent="0.35">
      <c r="A9" s="5" t="s">
        <v>81</v>
      </c>
      <c r="B9" s="6" t="s">
        <v>82</v>
      </c>
      <c r="C9" s="6" t="s">
        <v>83</v>
      </c>
    </row>
    <row r="10" spans="1:8" ht="22" customHeight="1" x14ac:dyDescent="0.35">
      <c r="A10" s="7" t="s">
        <v>84</v>
      </c>
      <c r="B10" s="8" t="s">
        <v>85</v>
      </c>
      <c r="C10" s="8" t="s">
        <v>86</v>
      </c>
    </row>
    <row r="11" spans="1:8" ht="22" customHeight="1" x14ac:dyDescent="0.35">
      <c r="A11" s="5" t="s">
        <v>87</v>
      </c>
      <c r="B11" s="6" t="s">
        <v>88</v>
      </c>
      <c r="C11" s="6" t="s">
        <v>89</v>
      </c>
    </row>
    <row r="12" spans="1:8" ht="22" customHeight="1" x14ac:dyDescent="0.35">
      <c r="A12" s="7" t="s">
        <v>90</v>
      </c>
      <c r="B12" s="8" t="s">
        <v>91</v>
      </c>
      <c r="C12" s="8" t="s">
        <v>92</v>
      </c>
    </row>
    <row r="13" spans="1:8" ht="22" customHeight="1" x14ac:dyDescent="0.35">
      <c r="A13" s="5" t="s">
        <v>93</v>
      </c>
      <c r="B13" s="6" t="s">
        <v>94</v>
      </c>
      <c r="C13" s="6" t="s">
        <v>95</v>
      </c>
    </row>
    <row r="14" spans="1:8" ht="22" customHeight="1" x14ac:dyDescent="0.35">
      <c r="A14" s="7" t="s">
        <v>96</v>
      </c>
      <c r="B14" s="8" t="s">
        <v>97</v>
      </c>
      <c r="C14" s="8" t="s">
        <v>98</v>
      </c>
    </row>
    <row r="15" spans="1:8" ht="22" customHeight="1" x14ac:dyDescent="0.35">
      <c r="A15" s="5" t="s">
        <v>99</v>
      </c>
      <c r="B15" s="6" t="s">
        <v>100</v>
      </c>
      <c r="C15" s="6" t="s">
        <v>101</v>
      </c>
    </row>
    <row r="16" spans="1:8" ht="22" customHeight="1" x14ac:dyDescent="0.35">
      <c r="A16" s="7" t="s">
        <v>102</v>
      </c>
      <c r="B16" s="8" t="s">
        <v>103</v>
      </c>
      <c r="C16" s="8" t="s">
        <v>104</v>
      </c>
    </row>
    <row r="17" spans="1:3" ht="22" customHeight="1" x14ac:dyDescent="0.35">
      <c r="A17" s="5" t="s">
        <v>105</v>
      </c>
      <c r="B17" s="6" t="s">
        <v>106</v>
      </c>
      <c r="C17" s="6" t="s">
        <v>107</v>
      </c>
    </row>
    <row r="18" spans="1:3" ht="22" customHeight="1" x14ac:dyDescent="0.35">
      <c r="A18" s="7" t="s">
        <v>108</v>
      </c>
      <c r="B18" s="8" t="s">
        <v>109</v>
      </c>
      <c r="C18" s="8" t="s">
        <v>110</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94560"/>
  </sheetPr>
  <dimension ref="A1:F28"/>
  <sheetViews>
    <sheetView showGridLines="0" workbookViewId="0">
      <pane xSplit="1" ySplit="3" topLeftCell="B18" activePane="bottomRight" state="frozen"/>
      <selection pane="topRight"/>
      <selection pane="bottomLeft"/>
      <selection pane="bottomRight" sqref="A1:F1"/>
    </sheetView>
  </sheetViews>
  <sheetFormatPr defaultRowHeight="14.5" x14ac:dyDescent="0.35"/>
  <cols>
    <col min="1" max="1" width="38" customWidth="1"/>
    <col min="2" max="2" width="14" customWidth="1"/>
    <col min="3" max="3" width="12" customWidth="1"/>
    <col min="4" max="4" width="14" customWidth="1"/>
    <col min="5" max="5" width="12" customWidth="1"/>
  </cols>
  <sheetData>
    <row r="1" spans="1:6" ht="28" customHeight="1" x14ac:dyDescent="0.35">
      <c r="A1" s="104" t="s">
        <v>111</v>
      </c>
      <c r="B1" s="85"/>
      <c r="C1" s="85"/>
      <c r="D1" s="85"/>
      <c r="E1" s="85"/>
      <c r="F1" s="85"/>
    </row>
    <row r="2" spans="1:6" ht="22" customHeight="1" x14ac:dyDescent="0.35">
      <c r="B2" s="105" t="s">
        <v>61</v>
      </c>
      <c r="C2" s="85"/>
      <c r="D2" s="107" t="s">
        <v>62</v>
      </c>
      <c r="E2" s="85"/>
    </row>
    <row r="3" spans="1:6" ht="20" customHeight="1" x14ac:dyDescent="0.35">
      <c r="A3" s="9" t="s">
        <v>112</v>
      </c>
      <c r="B3" s="9" t="s">
        <v>113</v>
      </c>
      <c r="C3" s="9" t="s">
        <v>114</v>
      </c>
      <c r="D3" s="9" t="s">
        <v>113</v>
      </c>
      <c r="E3" s="9" t="s">
        <v>114</v>
      </c>
    </row>
    <row r="4" spans="1:6" ht="20" customHeight="1" x14ac:dyDescent="0.35">
      <c r="A4" s="108" t="s">
        <v>115</v>
      </c>
      <c r="B4" s="85"/>
      <c r="C4" s="85"/>
      <c r="D4" s="85"/>
      <c r="E4" s="85"/>
      <c r="F4" s="85"/>
    </row>
    <row r="5" spans="1:6" ht="20" customHeight="1" x14ac:dyDescent="0.35">
      <c r="A5" s="10" t="s">
        <v>116</v>
      </c>
      <c r="B5" s="11">
        <v>240893</v>
      </c>
      <c r="C5" s="12">
        <f>B5/240893</f>
        <v>1</v>
      </c>
      <c r="D5" s="13">
        <v>153670</v>
      </c>
      <c r="E5" s="12">
        <f>D5/153670</f>
        <v>1</v>
      </c>
    </row>
    <row r="6" spans="1:6" ht="20" customHeight="1" x14ac:dyDescent="0.35">
      <c r="A6" s="1" t="s">
        <v>117</v>
      </c>
      <c r="B6" s="14">
        <v>3644</v>
      </c>
      <c r="C6" s="15">
        <f>B6/240893</f>
        <v>1.5127048108496303E-2</v>
      </c>
      <c r="D6" s="16">
        <v>4711</v>
      </c>
      <c r="E6" s="15">
        <f>D6/153670</f>
        <v>3.0656601809071388E-2</v>
      </c>
    </row>
    <row r="7" spans="1:6" ht="20" customHeight="1" x14ac:dyDescent="0.35">
      <c r="A7" s="17" t="s">
        <v>118</v>
      </c>
      <c r="B7" s="36">
        <v>244537</v>
      </c>
      <c r="C7" s="18">
        <f>B7/240893</f>
        <v>1.0151270481084964</v>
      </c>
      <c r="D7" s="37">
        <v>158381</v>
      </c>
      <c r="E7" s="18">
        <f>D7/153670</f>
        <v>1.0306566018090715</v>
      </c>
    </row>
    <row r="8" spans="1:6" ht="20" customHeight="1" x14ac:dyDescent="0.35"/>
    <row r="9" spans="1:6" ht="20" customHeight="1" x14ac:dyDescent="0.35">
      <c r="A9" s="108" t="s">
        <v>119</v>
      </c>
      <c r="B9" s="85"/>
      <c r="C9" s="85"/>
      <c r="D9" s="85"/>
      <c r="E9" s="85"/>
      <c r="F9" s="85"/>
    </row>
    <row r="10" spans="1:6" ht="20" customHeight="1" x14ac:dyDescent="0.35">
      <c r="A10" s="1" t="s">
        <v>120</v>
      </c>
      <c r="B10" s="14">
        <v>143595</v>
      </c>
      <c r="C10" s="15">
        <f>B10/240893</f>
        <v>0.59609453159701609</v>
      </c>
      <c r="D10" s="16">
        <v>82620</v>
      </c>
      <c r="E10" s="15">
        <f t="shared" ref="E10:E15" si="0">D10/153670</f>
        <v>0.53764560421682828</v>
      </c>
    </row>
    <row r="11" spans="1:6" ht="20" customHeight="1" x14ac:dyDescent="0.35">
      <c r="A11" s="10" t="s">
        <v>121</v>
      </c>
      <c r="B11" s="19" t="s">
        <v>122</v>
      </c>
      <c r="C11" s="19" t="s">
        <v>123</v>
      </c>
      <c r="D11" s="13">
        <v>12232</v>
      </c>
      <c r="E11" s="12">
        <f t="shared" si="0"/>
        <v>7.9599141016463856E-2</v>
      </c>
    </row>
    <row r="12" spans="1:6" ht="20" customHeight="1" x14ac:dyDescent="0.35">
      <c r="A12" s="1" t="s">
        <v>124</v>
      </c>
      <c r="B12" s="14">
        <v>38945</v>
      </c>
      <c r="C12" s="15">
        <f>B12/240893</f>
        <v>0.16166928885438764</v>
      </c>
      <c r="D12" s="16">
        <v>23591</v>
      </c>
      <c r="E12" s="15">
        <f t="shared" si="0"/>
        <v>0.15351727728248846</v>
      </c>
    </row>
    <row r="13" spans="1:6" ht="20" customHeight="1" x14ac:dyDescent="0.35">
      <c r="A13" s="10" t="s">
        <v>125</v>
      </c>
      <c r="B13" s="11">
        <v>4985</v>
      </c>
      <c r="C13" s="12">
        <f>B13/240893</f>
        <v>2.0693835022188273E-2</v>
      </c>
      <c r="D13" s="13">
        <v>4678</v>
      </c>
      <c r="E13" s="12">
        <f t="shared" si="0"/>
        <v>3.0441855925034164E-2</v>
      </c>
    </row>
    <row r="14" spans="1:6" ht="20" customHeight="1" x14ac:dyDescent="0.35">
      <c r="A14" s="1" t="s">
        <v>126</v>
      </c>
      <c r="B14" s="14">
        <v>778</v>
      </c>
      <c r="C14" s="15">
        <f>B14/240893</f>
        <v>3.2296496784879592E-3</v>
      </c>
      <c r="D14" s="16">
        <v>470</v>
      </c>
      <c r="E14" s="15">
        <f t="shared" si="0"/>
        <v>3.0585019847725646E-3</v>
      </c>
    </row>
    <row r="15" spans="1:6" ht="20" customHeight="1" x14ac:dyDescent="0.35">
      <c r="A15" s="17" t="s">
        <v>127</v>
      </c>
      <c r="B15" s="36">
        <v>188303</v>
      </c>
      <c r="C15" s="18">
        <f>B15/240893</f>
        <v>0.78168730515207996</v>
      </c>
      <c r="D15" s="37">
        <v>123561</v>
      </c>
      <c r="E15" s="18">
        <f t="shared" si="0"/>
        <v>0.80406715689464436</v>
      </c>
    </row>
    <row r="16" spans="1:6" ht="20" customHeight="1" x14ac:dyDescent="0.35"/>
    <row r="17" spans="1:6" ht="20" customHeight="1" x14ac:dyDescent="0.35">
      <c r="A17" s="108" t="s">
        <v>128</v>
      </c>
      <c r="B17" s="85"/>
      <c r="C17" s="85"/>
      <c r="D17" s="85"/>
      <c r="E17" s="85"/>
      <c r="F17" s="85"/>
    </row>
    <row r="18" spans="1:6" ht="20" customHeight="1" x14ac:dyDescent="0.35">
      <c r="A18" s="1" t="s">
        <v>129</v>
      </c>
      <c r="B18" s="14">
        <v>97298</v>
      </c>
      <c r="C18" s="15">
        <f t="shared" ref="C18:C23" si="1">B18/240893</f>
        <v>0.40390546840298391</v>
      </c>
      <c r="D18" s="20" t="s">
        <v>122</v>
      </c>
      <c r="E18" s="20" t="s">
        <v>123</v>
      </c>
    </row>
    <row r="19" spans="1:6" ht="20" customHeight="1" x14ac:dyDescent="0.35">
      <c r="A19" s="10" t="s">
        <v>130</v>
      </c>
      <c r="B19" s="11">
        <v>58353</v>
      </c>
      <c r="C19" s="12">
        <f t="shared" si="1"/>
        <v>0.24223617954859628</v>
      </c>
      <c r="D19" s="13">
        <v>31769</v>
      </c>
      <c r="E19" s="12">
        <f>D19/153670</f>
        <v>0.20673521181753107</v>
      </c>
    </row>
    <row r="20" spans="1:6" ht="20" customHeight="1" x14ac:dyDescent="0.35">
      <c r="A20" s="1" t="s">
        <v>131</v>
      </c>
      <c r="B20" s="14">
        <v>61997</v>
      </c>
      <c r="C20" s="15">
        <f t="shared" si="1"/>
        <v>0.25736322765709257</v>
      </c>
      <c r="D20" s="16">
        <v>35988</v>
      </c>
      <c r="E20" s="15">
        <f>D20/153670</f>
        <v>0.2341901477191384</v>
      </c>
    </row>
    <row r="21" spans="1:6" ht="20" customHeight="1" x14ac:dyDescent="0.35">
      <c r="A21" s="10" t="s">
        <v>132</v>
      </c>
      <c r="B21" s="11">
        <v>15898</v>
      </c>
      <c r="C21" s="12">
        <f t="shared" si="1"/>
        <v>6.5996106155014889E-2</v>
      </c>
      <c r="D21" s="13">
        <v>9740</v>
      </c>
      <c r="E21" s="12">
        <f>D21/153670</f>
        <v>6.3382573046137827E-2</v>
      </c>
    </row>
    <row r="22" spans="1:6" ht="20" customHeight="1" x14ac:dyDescent="0.35">
      <c r="A22" s="21" t="s">
        <v>133</v>
      </c>
      <c r="B22" s="22">
        <v>46099</v>
      </c>
      <c r="C22" s="23">
        <f t="shared" si="1"/>
        <v>0.19136712150207769</v>
      </c>
      <c r="D22" s="24">
        <v>26248</v>
      </c>
      <c r="E22" s="23">
        <f>D22/153670</f>
        <v>0.17080757467300059</v>
      </c>
    </row>
    <row r="23" spans="1:6" ht="20" customHeight="1" x14ac:dyDescent="0.35">
      <c r="A23" s="10" t="s">
        <v>134</v>
      </c>
      <c r="B23" s="11">
        <v>45908</v>
      </c>
      <c r="C23" s="12">
        <f t="shared" si="1"/>
        <v>0.19057423835478823</v>
      </c>
      <c r="D23" s="13">
        <v>26248</v>
      </c>
      <c r="E23" s="12">
        <f>D23/153670</f>
        <v>0.17080757467300059</v>
      </c>
    </row>
    <row r="24" spans="1:6" ht="20" customHeight="1" x14ac:dyDescent="0.35"/>
    <row r="25" spans="1:6" ht="20" customHeight="1" x14ac:dyDescent="0.35">
      <c r="A25" s="108" t="s">
        <v>135</v>
      </c>
      <c r="B25" s="85"/>
      <c r="C25" s="85"/>
      <c r="D25" s="85"/>
      <c r="E25" s="85"/>
      <c r="F25" s="85"/>
    </row>
    <row r="26" spans="1:6" ht="20" customHeight="1" x14ac:dyDescent="0.35">
      <c r="A26" s="1" t="s">
        <v>136</v>
      </c>
      <c r="B26" s="14">
        <v>125.88</v>
      </c>
      <c r="C26" s="15">
        <f>B26/240893</f>
        <v>5.2255565749108519E-4</v>
      </c>
      <c r="D26" s="16">
        <v>63.39</v>
      </c>
      <c r="E26" s="15">
        <f>D26/153670</f>
        <v>4.1250732088241038E-4</v>
      </c>
    </row>
    <row r="28" spans="1:6" ht="16" customHeight="1" x14ac:dyDescent="0.35">
      <c r="A28" s="106" t="s">
        <v>137</v>
      </c>
      <c r="B28" s="85"/>
      <c r="C28" s="85"/>
      <c r="D28" s="85"/>
      <c r="E28" s="85"/>
      <c r="F28" s="85"/>
    </row>
  </sheetData>
  <mergeCells count="8">
    <mergeCell ref="B2:C2"/>
    <mergeCell ref="A28:F28"/>
    <mergeCell ref="D2:E2"/>
    <mergeCell ref="A1:F1"/>
    <mergeCell ref="A9:F9"/>
    <mergeCell ref="A17:F17"/>
    <mergeCell ref="A4:F4"/>
    <mergeCell ref="A25:F2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3483"/>
  </sheetPr>
  <dimension ref="A1:E34"/>
  <sheetViews>
    <sheetView showGridLines="0" workbookViewId="0">
      <pane xSplit="1" ySplit="3" topLeftCell="B24" activePane="bottomRight" state="frozen"/>
      <selection pane="topRight"/>
      <selection pane="bottomLeft"/>
      <selection pane="bottomRight" activeCell="C32" sqref="C32"/>
    </sheetView>
  </sheetViews>
  <sheetFormatPr defaultRowHeight="14.5" x14ac:dyDescent="0.35"/>
  <cols>
    <col min="1" max="1" width="35" customWidth="1"/>
    <col min="2" max="3" width="14" customWidth="1"/>
    <col min="4" max="4" width="28" customWidth="1"/>
    <col min="5" max="5" width="38" customWidth="1"/>
  </cols>
  <sheetData>
    <row r="1" spans="1:5" ht="28" customHeight="1" x14ac:dyDescent="0.35">
      <c r="A1" s="104" t="s">
        <v>138</v>
      </c>
      <c r="B1" s="85"/>
      <c r="C1" s="85"/>
      <c r="D1" s="85"/>
      <c r="E1" s="85"/>
    </row>
    <row r="2" spans="1:5" ht="22" customHeight="1" x14ac:dyDescent="0.35">
      <c r="A2" s="9" t="s">
        <v>112</v>
      </c>
      <c r="B2" s="25" t="s">
        <v>61</v>
      </c>
      <c r="C2" s="26" t="s">
        <v>62</v>
      </c>
      <c r="D2" s="9" t="s">
        <v>139</v>
      </c>
      <c r="E2" s="9" t="s">
        <v>140</v>
      </c>
    </row>
    <row r="3" spans="1:5" ht="20" customHeight="1" x14ac:dyDescent="0.35">
      <c r="A3" s="108" t="s">
        <v>141</v>
      </c>
      <c r="B3" s="85"/>
      <c r="C3" s="85"/>
      <c r="D3" s="85"/>
      <c r="E3" s="85"/>
    </row>
    <row r="4" spans="1:5" ht="20" customHeight="1" x14ac:dyDescent="0.35">
      <c r="A4" s="1" t="s">
        <v>142</v>
      </c>
      <c r="B4" s="14">
        <v>9016</v>
      </c>
      <c r="C4" s="16">
        <v>14786</v>
      </c>
      <c r="D4" s="27" t="s">
        <v>143</v>
      </c>
      <c r="E4" s="28" t="s">
        <v>144</v>
      </c>
    </row>
    <row r="5" spans="1:5" ht="20" customHeight="1" x14ac:dyDescent="0.35">
      <c r="A5" s="10" t="s">
        <v>145</v>
      </c>
      <c r="B5" s="11">
        <v>31481</v>
      </c>
      <c r="C5" s="13">
        <v>12915</v>
      </c>
      <c r="D5" s="29" t="s">
        <v>146</v>
      </c>
      <c r="E5" s="30" t="s">
        <v>147</v>
      </c>
    </row>
    <row r="6" spans="1:5" ht="20" customHeight="1" x14ac:dyDescent="0.35">
      <c r="A6" s="1" t="s">
        <v>148</v>
      </c>
      <c r="B6" s="14">
        <v>44434</v>
      </c>
      <c r="C6" s="16">
        <v>30193</v>
      </c>
      <c r="D6" s="31" t="s">
        <v>149</v>
      </c>
      <c r="E6" s="28" t="s">
        <v>150</v>
      </c>
    </row>
    <row r="7" spans="1:5" ht="20" customHeight="1" x14ac:dyDescent="0.35">
      <c r="A7" s="10" t="s">
        <v>151</v>
      </c>
      <c r="B7" s="11">
        <v>9143</v>
      </c>
      <c r="C7" s="13">
        <v>12768</v>
      </c>
      <c r="D7" s="32" t="s">
        <v>152</v>
      </c>
      <c r="E7" s="30" t="s">
        <v>153</v>
      </c>
    </row>
    <row r="8" spans="1:5" ht="20" customHeight="1" x14ac:dyDescent="0.35">
      <c r="A8" s="1" t="s">
        <v>154</v>
      </c>
      <c r="B8" s="14">
        <v>18910</v>
      </c>
      <c r="C8" s="16">
        <v>19570</v>
      </c>
      <c r="D8" s="27" t="s">
        <v>155</v>
      </c>
      <c r="E8" s="28"/>
    </row>
    <row r="9" spans="1:5" ht="20" customHeight="1" x14ac:dyDescent="0.35">
      <c r="A9" s="17" t="s">
        <v>156</v>
      </c>
      <c r="B9" s="36">
        <v>112984</v>
      </c>
      <c r="C9" s="37">
        <v>89432</v>
      </c>
      <c r="D9" s="33" t="s">
        <v>157</v>
      </c>
      <c r="E9" s="34" t="s">
        <v>158</v>
      </c>
    </row>
    <row r="10" spans="1:5" ht="20" customHeight="1" x14ac:dyDescent="0.35">
      <c r="A10" s="1" t="s">
        <v>159</v>
      </c>
      <c r="B10" s="14">
        <v>35588</v>
      </c>
      <c r="C10" s="16">
        <v>48382</v>
      </c>
      <c r="D10" s="27" t="s">
        <v>160</v>
      </c>
      <c r="E10" s="28" t="s">
        <v>161</v>
      </c>
    </row>
    <row r="11" spans="1:5" ht="20" customHeight="1" x14ac:dyDescent="0.35">
      <c r="A11" s="17" t="s">
        <v>162</v>
      </c>
      <c r="B11" s="36">
        <v>148572</v>
      </c>
      <c r="C11" s="37">
        <v>137814</v>
      </c>
      <c r="D11" s="33" t="s">
        <v>163</v>
      </c>
      <c r="E11" s="34"/>
    </row>
    <row r="12" spans="1:5" ht="20" customHeight="1" x14ac:dyDescent="0.35"/>
    <row r="13" spans="1:5" ht="20" customHeight="1" x14ac:dyDescent="0.35">
      <c r="A13" s="108" t="s">
        <v>164</v>
      </c>
      <c r="B13" s="85"/>
      <c r="C13" s="85"/>
      <c r="D13" s="85"/>
      <c r="E13" s="85"/>
    </row>
    <row r="14" spans="1:5" ht="20" customHeight="1" x14ac:dyDescent="0.35">
      <c r="A14" s="1" t="s">
        <v>165</v>
      </c>
      <c r="B14" s="14">
        <v>9981</v>
      </c>
      <c r="C14" s="16">
        <v>3956</v>
      </c>
      <c r="D14" s="31" t="s">
        <v>166</v>
      </c>
      <c r="E14" s="28" t="s">
        <v>167</v>
      </c>
    </row>
    <row r="15" spans="1:5" ht="20" customHeight="1" x14ac:dyDescent="0.35">
      <c r="A15" s="10" t="s">
        <v>168</v>
      </c>
      <c r="B15" s="11">
        <v>30604</v>
      </c>
      <c r="C15" s="13">
        <v>34838</v>
      </c>
      <c r="D15" s="32" t="s">
        <v>169</v>
      </c>
      <c r="E15" s="30" t="s">
        <v>170</v>
      </c>
    </row>
    <row r="16" spans="1:5" ht="20" customHeight="1" x14ac:dyDescent="0.35">
      <c r="A16" s="17" t="s">
        <v>171</v>
      </c>
      <c r="B16" s="36">
        <v>46104</v>
      </c>
      <c r="C16" s="37">
        <v>38794</v>
      </c>
      <c r="D16" s="33" t="s">
        <v>172</v>
      </c>
      <c r="E16" s="34"/>
    </row>
    <row r="17" spans="1:5" ht="20" customHeight="1" x14ac:dyDescent="0.35">
      <c r="A17" s="10" t="s">
        <v>173</v>
      </c>
      <c r="B17" s="11">
        <v>9026</v>
      </c>
      <c r="C17" s="13">
        <v>10559</v>
      </c>
      <c r="D17" s="32" t="s">
        <v>174</v>
      </c>
      <c r="E17" s="30"/>
    </row>
    <row r="18" spans="1:5" ht="20" customHeight="1" x14ac:dyDescent="0.35">
      <c r="A18" s="17" t="s">
        <v>175</v>
      </c>
      <c r="B18" s="36">
        <v>55130</v>
      </c>
      <c r="C18" s="37">
        <v>49353</v>
      </c>
      <c r="D18" s="33" t="s">
        <v>176</v>
      </c>
      <c r="E18" s="34"/>
    </row>
    <row r="19" spans="1:5" ht="20" customHeight="1" x14ac:dyDescent="0.35"/>
    <row r="20" spans="1:5" ht="20" customHeight="1" x14ac:dyDescent="0.35">
      <c r="A20" s="108" t="s">
        <v>177</v>
      </c>
      <c r="B20" s="85"/>
      <c r="C20" s="85"/>
      <c r="D20" s="85"/>
      <c r="E20" s="85"/>
    </row>
    <row r="21" spans="1:5" ht="20" customHeight="1" x14ac:dyDescent="0.35">
      <c r="A21" s="10" t="s">
        <v>178</v>
      </c>
      <c r="B21" s="11">
        <v>362</v>
      </c>
      <c r="C21" s="13">
        <v>2071</v>
      </c>
      <c r="D21" s="32" t="s">
        <v>179</v>
      </c>
      <c r="E21" s="30" t="s">
        <v>180</v>
      </c>
    </row>
    <row r="22" spans="1:5" ht="20" customHeight="1" x14ac:dyDescent="0.35">
      <c r="A22" s="1" t="s">
        <v>181</v>
      </c>
      <c r="B22" s="14">
        <v>72926</v>
      </c>
      <c r="C22" s="16">
        <v>86045</v>
      </c>
      <c r="D22" s="27" t="s">
        <v>182</v>
      </c>
      <c r="E22" s="28"/>
    </row>
    <row r="23" spans="1:5" ht="20" customHeight="1" x14ac:dyDescent="0.35">
      <c r="A23" s="10" t="s">
        <v>183</v>
      </c>
      <c r="B23" s="11">
        <v>92612</v>
      </c>
      <c r="C23" s="13">
        <v>88116</v>
      </c>
      <c r="D23" s="29" t="s">
        <v>184</v>
      </c>
      <c r="E23" s="30"/>
    </row>
    <row r="24" spans="1:5" ht="20" customHeight="1" x14ac:dyDescent="0.35">
      <c r="A24" s="1" t="s">
        <v>185</v>
      </c>
      <c r="B24" s="14">
        <v>830</v>
      </c>
      <c r="C24" s="16">
        <v>345</v>
      </c>
      <c r="D24" s="31" t="s">
        <v>186</v>
      </c>
      <c r="E24" s="28"/>
    </row>
    <row r="25" spans="1:5" ht="20" customHeight="1" x14ac:dyDescent="0.35">
      <c r="A25" s="17" t="s">
        <v>187</v>
      </c>
      <c r="B25" s="36">
        <v>93442</v>
      </c>
      <c r="C25" s="37">
        <v>88461</v>
      </c>
      <c r="D25" s="33" t="s">
        <v>188</v>
      </c>
      <c r="E25" s="34" t="s">
        <v>189</v>
      </c>
    </row>
    <row r="26" spans="1:5" ht="20" customHeight="1" x14ac:dyDescent="0.35">
      <c r="A26" s="17" t="s">
        <v>190</v>
      </c>
      <c r="B26" s="36">
        <v>148572</v>
      </c>
      <c r="C26" s="37">
        <v>137814</v>
      </c>
      <c r="D26" s="33" t="s">
        <v>163</v>
      </c>
      <c r="E26" s="34" t="s">
        <v>191</v>
      </c>
    </row>
    <row r="27" spans="1:5" ht="20" customHeight="1" x14ac:dyDescent="0.35"/>
    <row r="28" spans="1:5" ht="20" customHeight="1" x14ac:dyDescent="0.35">
      <c r="A28" s="108" t="s">
        <v>192</v>
      </c>
      <c r="B28" s="85"/>
      <c r="C28" s="85"/>
      <c r="D28" s="85"/>
      <c r="E28" s="85"/>
    </row>
    <row r="29" spans="1:5" ht="20" customHeight="1" x14ac:dyDescent="0.35">
      <c r="A29" s="10" t="s">
        <v>193</v>
      </c>
      <c r="B29" s="11">
        <v>0</v>
      </c>
      <c r="C29" s="13">
        <v>0</v>
      </c>
      <c r="D29" s="35"/>
      <c r="E29" s="30" t="s">
        <v>194</v>
      </c>
    </row>
    <row r="30" spans="1:5" ht="20" customHeight="1" x14ac:dyDescent="0.35">
      <c r="A30" s="1" t="s">
        <v>195</v>
      </c>
      <c r="B30" s="14">
        <v>8021</v>
      </c>
      <c r="C30" s="16">
        <v>8327</v>
      </c>
      <c r="D30" s="27" t="s">
        <v>196</v>
      </c>
      <c r="E30" s="28" t="s">
        <v>197</v>
      </c>
    </row>
    <row r="31" spans="1:5" ht="20" customHeight="1" x14ac:dyDescent="0.35">
      <c r="A31" s="17" t="s">
        <v>198</v>
      </c>
      <c r="B31" s="36">
        <f>C8-C14</f>
        <v>15614</v>
      </c>
      <c r="C31" s="37">
        <v>5365</v>
      </c>
      <c r="D31" s="38"/>
      <c r="E31" s="34" t="s">
        <v>199</v>
      </c>
    </row>
    <row r="32" spans="1:5" ht="20" customHeight="1" x14ac:dyDescent="0.35">
      <c r="A32" s="1" t="s">
        <v>200</v>
      </c>
      <c r="B32" s="14">
        <v>255</v>
      </c>
      <c r="C32" s="16">
        <v>212.8</v>
      </c>
      <c r="D32" s="31" t="s">
        <v>201</v>
      </c>
      <c r="E32" s="28" t="s">
        <v>202</v>
      </c>
    </row>
    <row r="34" spans="1:5" ht="16" customHeight="1" x14ac:dyDescent="0.35">
      <c r="A34" s="106" t="s">
        <v>203</v>
      </c>
      <c r="B34" s="85"/>
      <c r="C34" s="85"/>
      <c r="D34" s="85"/>
      <c r="E34" s="85"/>
    </row>
  </sheetData>
  <mergeCells count="6">
    <mergeCell ref="A34:E34"/>
    <mergeCell ref="A20:E20"/>
    <mergeCell ref="A28:E28"/>
    <mergeCell ref="A1:E1"/>
    <mergeCell ref="A13:E13"/>
    <mergeCell ref="A3:E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3D"/>
  </sheetPr>
  <dimension ref="A1:G31"/>
  <sheetViews>
    <sheetView showGridLines="0" workbookViewId="0">
      <pane xSplit="1" ySplit="3" topLeftCell="B25" activePane="bottomRight" state="frozen"/>
      <selection pane="topRight"/>
      <selection pane="bottomLeft"/>
      <selection pane="bottomRight" sqref="A1:G1"/>
    </sheetView>
  </sheetViews>
  <sheetFormatPr defaultRowHeight="14.5" x14ac:dyDescent="0.35"/>
  <cols>
    <col min="1" max="1" width="28" customWidth="1"/>
    <col min="2" max="2" width="32" customWidth="1"/>
    <col min="3" max="5" width="12" customWidth="1"/>
    <col min="6" max="6" width="22" customWidth="1"/>
    <col min="7" max="7" width="48" customWidth="1"/>
  </cols>
  <sheetData>
    <row r="1" spans="1:7" ht="28" customHeight="1" x14ac:dyDescent="0.35">
      <c r="A1" s="104" t="s">
        <v>204</v>
      </c>
      <c r="B1" s="85"/>
      <c r="C1" s="85"/>
      <c r="D1" s="85"/>
      <c r="E1" s="85"/>
      <c r="F1" s="85"/>
      <c r="G1" s="85"/>
    </row>
    <row r="2" spans="1:7" ht="22" customHeight="1" x14ac:dyDescent="0.35">
      <c r="A2" s="9" t="s">
        <v>205</v>
      </c>
      <c r="B2" s="9" t="s">
        <v>206</v>
      </c>
      <c r="C2" s="25" t="s">
        <v>61</v>
      </c>
      <c r="D2" s="26" t="s">
        <v>62</v>
      </c>
      <c r="E2" s="39" t="s">
        <v>207</v>
      </c>
      <c r="F2" s="39" t="s">
        <v>208</v>
      </c>
      <c r="G2" s="9" t="s">
        <v>209</v>
      </c>
    </row>
    <row r="3" spans="1:7" ht="20" customHeight="1" x14ac:dyDescent="0.35">
      <c r="A3" s="108" t="s">
        <v>210</v>
      </c>
      <c r="B3" s="85"/>
      <c r="C3" s="85"/>
      <c r="D3" s="85"/>
      <c r="E3" s="85"/>
      <c r="F3" s="85"/>
      <c r="G3" s="85"/>
    </row>
    <row r="4" spans="1:7" ht="36" customHeight="1" x14ac:dyDescent="0.35">
      <c r="A4" s="5" t="s">
        <v>211</v>
      </c>
      <c r="B4" s="40" t="s">
        <v>212</v>
      </c>
      <c r="C4" s="41">
        <v>2.4500000000000002</v>
      </c>
      <c r="D4" s="42">
        <v>2.31</v>
      </c>
      <c r="E4" s="43" t="s">
        <v>61</v>
      </c>
      <c r="F4" s="40" t="s">
        <v>213</v>
      </c>
      <c r="G4" s="44" t="s">
        <v>214</v>
      </c>
    </row>
    <row r="5" spans="1:7" ht="36" customHeight="1" x14ac:dyDescent="0.35">
      <c r="A5" s="7" t="s">
        <v>215</v>
      </c>
      <c r="B5" s="45" t="s">
        <v>216</v>
      </c>
      <c r="C5" s="46">
        <v>2.4500000000000002</v>
      </c>
      <c r="D5" s="47">
        <v>2.31</v>
      </c>
      <c r="E5" s="43" t="s">
        <v>61</v>
      </c>
      <c r="F5" s="45" t="s">
        <v>217</v>
      </c>
      <c r="G5" s="48" t="s">
        <v>218</v>
      </c>
    </row>
    <row r="6" spans="1:7" ht="36" customHeight="1" x14ac:dyDescent="0.35">
      <c r="A6" s="5" t="s">
        <v>219</v>
      </c>
      <c r="B6" s="40" t="s">
        <v>220</v>
      </c>
      <c r="C6" s="41">
        <v>0.92</v>
      </c>
      <c r="D6" s="42">
        <v>0.71</v>
      </c>
      <c r="E6" s="43" t="s">
        <v>61</v>
      </c>
      <c r="F6" s="40" t="s">
        <v>221</v>
      </c>
      <c r="G6" s="44" t="s">
        <v>222</v>
      </c>
    </row>
    <row r="7" spans="1:7" ht="20" customHeight="1" x14ac:dyDescent="0.35">
      <c r="A7" s="108" t="s">
        <v>223</v>
      </c>
      <c r="B7" s="85"/>
      <c r="C7" s="85"/>
      <c r="D7" s="85"/>
      <c r="E7" s="85"/>
      <c r="F7" s="85"/>
      <c r="G7" s="85"/>
    </row>
    <row r="8" spans="1:7" ht="36" customHeight="1" x14ac:dyDescent="0.35">
      <c r="A8" s="5" t="s">
        <v>224</v>
      </c>
      <c r="B8" s="40" t="s">
        <v>225</v>
      </c>
      <c r="C8" s="41">
        <v>0.40400000000000003</v>
      </c>
      <c r="D8" s="49" t="s">
        <v>122</v>
      </c>
      <c r="E8" s="43" t="s">
        <v>61</v>
      </c>
      <c r="F8" s="40" t="s">
        <v>226</v>
      </c>
      <c r="G8" s="44" t="s">
        <v>227</v>
      </c>
    </row>
    <row r="9" spans="1:7" ht="36" customHeight="1" x14ac:dyDescent="0.35">
      <c r="A9" s="7" t="s">
        <v>228</v>
      </c>
      <c r="B9" s="45" t="s">
        <v>229</v>
      </c>
      <c r="C9" s="46">
        <v>0.24199999999999999</v>
      </c>
      <c r="D9" s="47">
        <v>0.20699999999999999</v>
      </c>
      <c r="E9" s="43" t="s">
        <v>61</v>
      </c>
      <c r="F9" s="45" t="s">
        <v>230</v>
      </c>
      <c r="G9" s="48" t="s">
        <v>231</v>
      </c>
    </row>
    <row r="10" spans="1:7" ht="36" customHeight="1" x14ac:dyDescent="0.35">
      <c r="A10" s="5" t="s">
        <v>232</v>
      </c>
      <c r="B10" s="40" t="s">
        <v>233</v>
      </c>
      <c r="C10" s="41">
        <v>0.191</v>
      </c>
      <c r="D10" s="42">
        <v>0.17100000000000001</v>
      </c>
      <c r="E10" s="43" t="s">
        <v>61</v>
      </c>
      <c r="F10" s="40" t="s">
        <v>234</v>
      </c>
      <c r="G10" s="44" t="s">
        <v>235</v>
      </c>
    </row>
    <row r="11" spans="1:7" ht="36" customHeight="1" x14ac:dyDescent="0.35">
      <c r="A11" s="7" t="s">
        <v>236</v>
      </c>
      <c r="B11" s="45" t="s">
        <v>237</v>
      </c>
      <c r="C11" s="46">
        <v>0.49099999999999999</v>
      </c>
      <c r="D11" s="47">
        <v>0.29699999999999999</v>
      </c>
      <c r="E11" s="43" t="s">
        <v>61</v>
      </c>
      <c r="F11" s="45" t="s">
        <v>238</v>
      </c>
      <c r="G11" s="48" t="s">
        <v>239</v>
      </c>
    </row>
    <row r="12" spans="1:7" ht="36" customHeight="1" x14ac:dyDescent="0.35">
      <c r="A12" s="5" t="s">
        <v>240</v>
      </c>
      <c r="B12" s="40" t="s">
        <v>241</v>
      </c>
      <c r="C12" s="41">
        <v>0.31</v>
      </c>
      <c r="D12" s="42">
        <v>0.19</v>
      </c>
      <c r="E12" s="43" t="s">
        <v>61</v>
      </c>
      <c r="F12" s="40" t="s">
        <v>242</v>
      </c>
      <c r="G12" s="44" t="s">
        <v>243</v>
      </c>
    </row>
    <row r="13" spans="1:7" ht="36" customHeight="1" x14ac:dyDescent="0.35">
      <c r="A13" s="7" t="s">
        <v>244</v>
      </c>
      <c r="B13" s="45" t="s">
        <v>245</v>
      </c>
      <c r="C13" s="46">
        <v>0.56599999999999995</v>
      </c>
      <c r="D13" s="47">
        <v>0.32</v>
      </c>
      <c r="E13" s="43" t="s">
        <v>61</v>
      </c>
      <c r="F13" s="45" t="s">
        <v>246</v>
      </c>
      <c r="G13" s="48" t="s">
        <v>247</v>
      </c>
    </row>
    <row r="14" spans="1:7" ht="20" customHeight="1" x14ac:dyDescent="0.35">
      <c r="A14" s="108" t="s">
        <v>248</v>
      </c>
      <c r="B14" s="85"/>
      <c r="C14" s="85"/>
      <c r="D14" s="85"/>
      <c r="E14" s="85"/>
      <c r="F14" s="85"/>
      <c r="G14" s="85"/>
    </row>
    <row r="15" spans="1:7" ht="36" customHeight="1" x14ac:dyDescent="0.35">
      <c r="A15" s="7" t="s">
        <v>249</v>
      </c>
      <c r="B15" s="45" t="s">
        <v>250</v>
      </c>
      <c r="C15" s="50">
        <v>5.66</v>
      </c>
      <c r="D15" s="51">
        <v>5.24</v>
      </c>
      <c r="E15" s="43" t="s">
        <v>61</v>
      </c>
      <c r="F15" s="45" t="s">
        <v>251</v>
      </c>
      <c r="G15" s="48" t="s">
        <v>252</v>
      </c>
    </row>
    <row r="16" spans="1:7" ht="36" customHeight="1" x14ac:dyDescent="0.35">
      <c r="A16" s="5" t="s">
        <v>253</v>
      </c>
      <c r="B16" s="40" t="s">
        <v>254</v>
      </c>
      <c r="C16" s="52">
        <v>64.5</v>
      </c>
      <c r="D16" s="53">
        <v>69.7</v>
      </c>
      <c r="E16" s="43" t="s">
        <v>61</v>
      </c>
      <c r="F16" s="40" t="s">
        <v>255</v>
      </c>
      <c r="G16" s="44" t="s">
        <v>256</v>
      </c>
    </row>
    <row r="17" spans="1:7" ht="36" customHeight="1" x14ac:dyDescent="0.35">
      <c r="A17" s="7" t="s">
        <v>257</v>
      </c>
      <c r="B17" s="45" t="s">
        <v>258</v>
      </c>
      <c r="C17" s="46">
        <v>1.62</v>
      </c>
      <c r="D17" s="47">
        <v>1.1200000000000001</v>
      </c>
      <c r="E17" s="43" t="s">
        <v>61</v>
      </c>
      <c r="F17" s="45" t="s">
        <v>259</v>
      </c>
      <c r="G17" s="48" t="s">
        <v>260</v>
      </c>
    </row>
    <row r="18" spans="1:7" ht="36" customHeight="1" x14ac:dyDescent="0.35">
      <c r="A18" s="5" t="s">
        <v>261</v>
      </c>
      <c r="B18" s="40" t="s">
        <v>262</v>
      </c>
      <c r="C18" s="49" t="s">
        <v>122</v>
      </c>
      <c r="D18" s="49" t="s">
        <v>122</v>
      </c>
      <c r="E18" s="54" t="s">
        <v>122</v>
      </c>
      <c r="F18" s="40" t="s">
        <v>263</v>
      </c>
      <c r="G18" s="44" t="s">
        <v>264</v>
      </c>
    </row>
    <row r="19" spans="1:7" ht="20" customHeight="1" x14ac:dyDescent="0.35">
      <c r="A19" s="108" t="s">
        <v>265</v>
      </c>
      <c r="B19" s="85"/>
      <c r="C19" s="85"/>
      <c r="D19" s="85"/>
      <c r="E19" s="85"/>
      <c r="F19" s="85"/>
      <c r="G19" s="85"/>
    </row>
    <row r="20" spans="1:7" ht="36" customHeight="1" x14ac:dyDescent="0.35">
      <c r="A20" s="5" t="s">
        <v>266</v>
      </c>
      <c r="B20" s="40" t="s">
        <v>267</v>
      </c>
      <c r="C20" s="41">
        <v>0</v>
      </c>
      <c r="D20" s="42">
        <v>0</v>
      </c>
      <c r="E20" s="54" t="s">
        <v>268</v>
      </c>
      <c r="F20" s="40" t="s">
        <v>269</v>
      </c>
      <c r="G20" s="44" t="s">
        <v>270</v>
      </c>
    </row>
    <row r="21" spans="1:7" ht="36" customHeight="1" x14ac:dyDescent="0.35">
      <c r="A21" s="7" t="s">
        <v>271</v>
      </c>
      <c r="B21" s="45" t="s">
        <v>272</v>
      </c>
      <c r="C21" s="46">
        <v>0.371</v>
      </c>
      <c r="D21" s="47">
        <v>0.35799999999999998</v>
      </c>
      <c r="E21" s="55" t="s">
        <v>62</v>
      </c>
      <c r="F21" s="45" t="s">
        <v>273</v>
      </c>
      <c r="G21" s="48" t="s">
        <v>274</v>
      </c>
    </row>
    <row r="22" spans="1:7" ht="36" customHeight="1" x14ac:dyDescent="0.35">
      <c r="A22" s="5" t="s">
        <v>275</v>
      </c>
      <c r="B22" s="40" t="s">
        <v>276</v>
      </c>
      <c r="C22" s="52">
        <v>74.98</v>
      </c>
      <c r="D22" s="53">
        <v>67.599999999999994</v>
      </c>
      <c r="E22" s="43" t="s">
        <v>61</v>
      </c>
      <c r="F22" s="40" t="s">
        <v>277</v>
      </c>
      <c r="G22" s="44" t="s">
        <v>278</v>
      </c>
    </row>
    <row r="23" spans="1:7" ht="36" customHeight="1" x14ac:dyDescent="0.35">
      <c r="A23" s="7" t="s">
        <v>279</v>
      </c>
      <c r="B23" s="45" t="s">
        <v>280</v>
      </c>
      <c r="C23" s="46">
        <v>1.59</v>
      </c>
      <c r="D23" s="47">
        <v>1.56</v>
      </c>
      <c r="E23" s="54" t="s">
        <v>281</v>
      </c>
      <c r="F23" s="45" t="s">
        <v>282</v>
      </c>
      <c r="G23" s="48" t="s">
        <v>283</v>
      </c>
    </row>
    <row r="24" spans="1:7" ht="20" customHeight="1" x14ac:dyDescent="0.35">
      <c r="A24" s="108" t="s">
        <v>284</v>
      </c>
      <c r="B24" s="85"/>
      <c r="C24" s="85"/>
      <c r="D24" s="85"/>
      <c r="E24" s="85"/>
      <c r="F24" s="85"/>
      <c r="G24" s="85"/>
    </row>
    <row r="25" spans="1:7" ht="36" customHeight="1" x14ac:dyDescent="0.35">
      <c r="A25" s="7" t="s">
        <v>285</v>
      </c>
      <c r="B25" s="45" t="s">
        <v>286</v>
      </c>
      <c r="C25" s="50">
        <v>32</v>
      </c>
      <c r="D25" s="51">
        <v>25.5</v>
      </c>
      <c r="E25" s="55" t="s">
        <v>62</v>
      </c>
      <c r="F25" s="45" t="s">
        <v>287</v>
      </c>
      <c r="G25" s="48" t="s">
        <v>288</v>
      </c>
    </row>
    <row r="26" spans="1:7" ht="36" customHeight="1" x14ac:dyDescent="0.35">
      <c r="A26" s="5" t="s">
        <v>136</v>
      </c>
      <c r="B26" s="40" t="s">
        <v>289</v>
      </c>
      <c r="C26" s="52">
        <v>125.88</v>
      </c>
      <c r="D26" s="53">
        <v>63.39</v>
      </c>
      <c r="E26" s="43" t="s">
        <v>61</v>
      </c>
      <c r="F26" s="40" t="s">
        <v>290</v>
      </c>
      <c r="G26" s="44" t="s">
        <v>291</v>
      </c>
    </row>
    <row r="27" spans="1:7" ht="36" customHeight="1" x14ac:dyDescent="0.35">
      <c r="A27" s="7" t="s">
        <v>292</v>
      </c>
      <c r="B27" s="45" t="s">
        <v>293</v>
      </c>
      <c r="C27" s="50">
        <v>16.100000000000001</v>
      </c>
      <c r="D27" s="51">
        <v>7.2</v>
      </c>
      <c r="E27" s="55" t="s">
        <v>62</v>
      </c>
      <c r="F27" s="45" t="s">
        <v>294</v>
      </c>
      <c r="G27" s="48" t="s">
        <v>295</v>
      </c>
    </row>
    <row r="28" spans="1:7" ht="36" customHeight="1" x14ac:dyDescent="0.35">
      <c r="A28" s="5" t="s">
        <v>296</v>
      </c>
      <c r="B28" s="40" t="s">
        <v>297</v>
      </c>
      <c r="C28" s="56" t="s">
        <v>298</v>
      </c>
      <c r="D28" s="57" t="s">
        <v>299</v>
      </c>
      <c r="E28" s="55" t="s">
        <v>62</v>
      </c>
      <c r="F28" s="40" t="s">
        <v>300</v>
      </c>
      <c r="G28" s="44" t="s">
        <v>301</v>
      </c>
    </row>
    <row r="29" spans="1:7" ht="36" customHeight="1" x14ac:dyDescent="0.35">
      <c r="A29" s="7" t="s">
        <v>302</v>
      </c>
      <c r="B29" s="45" t="s">
        <v>303</v>
      </c>
      <c r="C29" s="50">
        <v>1440000</v>
      </c>
      <c r="D29" s="51">
        <v>630000</v>
      </c>
      <c r="E29" s="43" t="s">
        <v>61</v>
      </c>
      <c r="F29" s="45" t="s">
        <v>304</v>
      </c>
      <c r="G29" s="48" t="s">
        <v>305</v>
      </c>
    </row>
    <row r="31" spans="1:7" ht="16" customHeight="1" x14ac:dyDescent="0.35">
      <c r="A31" s="106" t="s">
        <v>306</v>
      </c>
      <c r="B31" s="85"/>
      <c r="C31" s="85"/>
      <c r="D31" s="85"/>
      <c r="E31" s="85"/>
      <c r="F31" s="85"/>
      <c r="G31" s="85"/>
    </row>
  </sheetData>
  <mergeCells count="7">
    <mergeCell ref="A14:G14"/>
    <mergeCell ref="A1:G1"/>
    <mergeCell ref="A31:G31"/>
    <mergeCell ref="A3:G3"/>
    <mergeCell ref="A24:G24"/>
    <mergeCell ref="A7:G7"/>
    <mergeCell ref="A19:G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A623"/>
  </sheetPr>
  <dimension ref="A1:F28"/>
  <sheetViews>
    <sheetView showGridLines="0" topLeftCell="A12" workbookViewId="0">
      <selection sqref="A1:F1"/>
    </sheetView>
  </sheetViews>
  <sheetFormatPr defaultRowHeight="14.5" x14ac:dyDescent="0.35"/>
  <cols>
    <col min="1" max="1" width="16" customWidth="1"/>
    <col min="2" max="2" width="28" customWidth="1"/>
    <col min="3" max="4" width="14" customWidth="1"/>
    <col min="5" max="5" width="12" customWidth="1"/>
    <col min="6" max="6" width="36" customWidth="1"/>
  </cols>
  <sheetData>
    <row r="1" spans="1:6" ht="28" customHeight="1" x14ac:dyDescent="0.35">
      <c r="A1" s="104" t="s">
        <v>307</v>
      </c>
      <c r="B1" s="85"/>
      <c r="C1" s="85"/>
      <c r="D1" s="85"/>
      <c r="E1" s="85"/>
      <c r="F1" s="85"/>
    </row>
    <row r="2" spans="1:6" ht="22" customHeight="1" x14ac:dyDescent="0.35">
      <c r="A2" s="9" t="s">
        <v>308</v>
      </c>
      <c r="B2" s="9" t="s">
        <v>309</v>
      </c>
      <c r="C2" s="25" t="s">
        <v>61</v>
      </c>
      <c r="D2" s="26" t="s">
        <v>62</v>
      </c>
      <c r="E2" s="39" t="s">
        <v>310</v>
      </c>
      <c r="F2" s="39" t="s">
        <v>311</v>
      </c>
    </row>
    <row r="3" spans="1:6" ht="20" customHeight="1" x14ac:dyDescent="0.35">
      <c r="A3" s="5" t="s">
        <v>312</v>
      </c>
      <c r="B3" s="1" t="s">
        <v>87</v>
      </c>
      <c r="C3" s="58" t="s">
        <v>88</v>
      </c>
      <c r="D3" s="59" t="s">
        <v>89</v>
      </c>
      <c r="E3" s="43" t="s">
        <v>61</v>
      </c>
      <c r="F3" s="60" t="s">
        <v>313</v>
      </c>
    </row>
    <row r="4" spans="1:6" ht="20" customHeight="1" x14ac:dyDescent="0.35">
      <c r="A4" s="7" t="s">
        <v>312</v>
      </c>
      <c r="B4" s="10" t="s">
        <v>93</v>
      </c>
      <c r="C4" s="61" t="s">
        <v>314</v>
      </c>
      <c r="D4" s="62" t="s">
        <v>315</v>
      </c>
      <c r="E4" s="43" t="s">
        <v>61</v>
      </c>
      <c r="F4" s="63" t="s">
        <v>304</v>
      </c>
    </row>
    <row r="5" spans="1:6" ht="20" customHeight="1" x14ac:dyDescent="0.35">
      <c r="A5" s="5" t="s">
        <v>312</v>
      </c>
      <c r="B5" s="1" t="s">
        <v>316</v>
      </c>
      <c r="C5" s="58" t="s">
        <v>317</v>
      </c>
      <c r="D5" s="59" t="s">
        <v>318</v>
      </c>
      <c r="E5" s="43" t="s">
        <v>61</v>
      </c>
      <c r="F5" s="60" t="s">
        <v>319</v>
      </c>
    </row>
    <row r="6" spans="1:6" ht="20" customHeight="1" x14ac:dyDescent="0.35">
      <c r="A6" s="7" t="s">
        <v>320</v>
      </c>
      <c r="B6" s="10" t="s">
        <v>321</v>
      </c>
      <c r="C6" s="61" t="s">
        <v>322</v>
      </c>
      <c r="D6" s="62" t="s">
        <v>323</v>
      </c>
      <c r="E6" s="43" t="s">
        <v>61</v>
      </c>
      <c r="F6" s="63" t="s">
        <v>324</v>
      </c>
    </row>
    <row r="7" spans="1:6" ht="20" customHeight="1" x14ac:dyDescent="0.35">
      <c r="A7" s="5" t="s">
        <v>320</v>
      </c>
      <c r="B7" s="1" t="s">
        <v>325</v>
      </c>
      <c r="C7" s="58" t="s">
        <v>109</v>
      </c>
      <c r="D7" s="59" t="s">
        <v>110</v>
      </c>
      <c r="E7" s="43" t="s">
        <v>61</v>
      </c>
      <c r="F7" s="60" t="s">
        <v>326</v>
      </c>
    </row>
    <row r="8" spans="1:6" ht="20" customHeight="1" x14ac:dyDescent="0.35">
      <c r="A8" s="7" t="s">
        <v>320</v>
      </c>
      <c r="B8" s="10" t="s">
        <v>327</v>
      </c>
      <c r="C8" s="61" t="s">
        <v>328</v>
      </c>
      <c r="D8" s="62" t="s">
        <v>329</v>
      </c>
      <c r="E8" s="43" t="s">
        <v>61</v>
      </c>
      <c r="F8" s="63" t="s">
        <v>330</v>
      </c>
    </row>
    <row r="9" spans="1:6" ht="20" customHeight="1" x14ac:dyDescent="0.35">
      <c r="A9" s="5" t="s">
        <v>320</v>
      </c>
      <c r="B9" s="1" t="s">
        <v>331</v>
      </c>
      <c r="C9" s="58" t="s">
        <v>332</v>
      </c>
      <c r="D9" s="59" t="s">
        <v>333</v>
      </c>
      <c r="E9" s="43" t="s">
        <v>61</v>
      </c>
      <c r="F9" s="60" t="s">
        <v>334</v>
      </c>
    </row>
    <row r="10" spans="1:6" ht="20" customHeight="1" x14ac:dyDescent="0.35">
      <c r="A10" s="7" t="s">
        <v>335</v>
      </c>
      <c r="B10" s="10" t="s">
        <v>336</v>
      </c>
      <c r="C10" s="61" t="s">
        <v>337</v>
      </c>
      <c r="D10" s="62" t="s">
        <v>338</v>
      </c>
      <c r="E10" s="43" t="s">
        <v>61</v>
      </c>
      <c r="F10" s="63" t="s">
        <v>339</v>
      </c>
    </row>
    <row r="11" spans="1:6" ht="20" customHeight="1" x14ac:dyDescent="0.35">
      <c r="A11" s="5" t="s">
        <v>335</v>
      </c>
      <c r="B11" s="1" t="s">
        <v>340</v>
      </c>
      <c r="C11" s="58" t="s">
        <v>341</v>
      </c>
      <c r="D11" s="59" t="s">
        <v>342</v>
      </c>
      <c r="E11" s="55" t="s">
        <v>62</v>
      </c>
      <c r="F11" s="60" t="s">
        <v>343</v>
      </c>
    </row>
    <row r="12" spans="1:6" ht="20" customHeight="1" x14ac:dyDescent="0.35">
      <c r="A12" s="7" t="s">
        <v>344</v>
      </c>
      <c r="B12" s="10" t="s">
        <v>345</v>
      </c>
      <c r="C12" s="61" t="s">
        <v>346</v>
      </c>
      <c r="D12" s="62" t="s">
        <v>347</v>
      </c>
      <c r="E12" s="43" t="s">
        <v>61</v>
      </c>
      <c r="F12" s="63" t="s">
        <v>348</v>
      </c>
    </row>
    <row r="13" spans="1:6" ht="20" customHeight="1" x14ac:dyDescent="0.35">
      <c r="A13" s="5" t="s">
        <v>344</v>
      </c>
      <c r="B13" s="1" t="s">
        <v>349</v>
      </c>
      <c r="C13" s="58" t="s">
        <v>350</v>
      </c>
      <c r="D13" s="59" t="s">
        <v>351</v>
      </c>
      <c r="E13" s="43" t="s">
        <v>61</v>
      </c>
      <c r="F13" s="60" t="s">
        <v>352</v>
      </c>
    </row>
    <row r="14" spans="1:6" ht="20" customHeight="1" x14ac:dyDescent="0.35">
      <c r="A14" s="7" t="s">
        <v>353</v>
      </c>
      <c r="B14" s="10" t="s">
        <v>354</v>
      </c>
      <c r="C14" s="61" t="s">
        <v>355</v>
      </c>
      <c r="D14" s="62" t="s">
        <v>355</v>
      </c>
      <c r="E14" s="54" t="s">
        <v>268</v>
      </c>
      <c r="F14" s="63" t="s">
        <v>356</v>
      </c>
    </row>
    <row r="15" spans="1:6" ht="20" customHeight="1" x14ac:dyDescent="0.35">
      <c r="A15" s="5" t="s">
        <v>353</v>
      </c>
      <c r="B15" s="1" t="s">
        <v>357</v>
      </c>
      <c r="C15" s="58" t="s">
        <v>358</v>
      </c>
      <c r="D15" s="59" t="s">
        <v>359</v>
      </c>
      <c r="E15" s="43" t="s">
        <v>61</v>
      </c>
      <c r="F15" s="60" t="s">
        <v>360</v>
      </c>
    </row>
    <row r="16" spans="1:6" ht="20" customHeight="1" x14ac:dyDescent="0.35">
      <c r="A16" s="7" t="s">
        <v>361</v>
      </c>
      <c r="B16" s="10" t="s">
        <v>362</v>
      </c>
      <c r="C16" s="61" t="s">
        <v>363</v>
      </c>
      <c r="D16" s="62" t="s">
        <v>364</v>
      </c>
      <c r="E16" s="55" t="s">
        <v>62</v>
      </c>
      <c r="F16" s="63" t="s">
        <v>365</v>
      </c>
    </row>
    <row r="17" spans="1:6" ht="20" customHeight="1" x14ac:dyDescent="0.35">
      <c r="A17" s="5" t="s">
        <v>361</v>
      </c>
      <c r="B17" s="1" t="s">
        <v>366</v>
      </c>
      <c r="C17" s="58" t="s">
        <v>298</v>
      </c>
      <c r="D17" s="59" t="s">
        <v>299</v>
      </c>
      <c r="E17" s="55" t="s">
        <v>62</v>
      </c>
      <c r="F17" s="60" t="s">
        <v>367</v>
      </c>
    </row>
    <row r="18" spans="1:6" ht="20" customHeight="1" x14ac:dyDescent="0.35">
      <c r="A18" s="7" t="s">
        <v>361</v>
      </c>
      <c r="B18" s="10" t="s">
        <v>368</v>
      </c>
      <c r="C18" s="61" t="s">
        <v>369</v>
      </c>
      <c r="D18" s="62" t="s">
        <v>370</v>
      </c>
      <c r="E18" s="43" t="s">
        <v>61</v>
      </c>
      <c r="F18" s="63" t="s">
        <v>371</v>
      </c>
    </row>
    <row r="19" spans="1:6" ht="20" customHeight="1" x14ac:dyDescent="0.35">
      <c r="A19" s="5" t="s">
        <v>372</v>
      </c>
      <c r="B19" s="1" t="s">
        <v>373</v>
      </c>
      <c r="C19" s="58" t="s">
        <v>374</v>
      </c>
      <c r="D19" s="59" t="s">
        <v>375</v>
      </c>
      <c r="E19" s="43" t="s">
        <v>61</v>
      </c>
      <c r="F19" s="60" t="s">
        <v>376</v>
      </c>
    </row>
    <row r="22" spans="1:6" ht="24" customHeight="1" x14ac:dyDescent="0.35">
      <c r="A22" s="112" t="s">
        <v>377</v>
      </c>
      <c r="B22" s="85"/>
      <c r="C22" s="85"/>
      <c r="D22" s="85"/>
      <c r="E22" s="85"/>
      <c r="F22" s="85"/>
    </row>
    <row r="23" spans="1:6" ht="22" customHeight="1" x14ac:dyDescent="0.35">
      <c r="A23" s="111" t="s">
        <v>378</v>
      </c>
      <c r="B23" s="85"/>
      <c r="C23" s="85"/>
      <c r="D23" s="85"/>
      <c r="E23" s="85"/>
      <c r="F23" s="85"/>
    </row>
    <row r="24" spans="1:6" ht="22" customHeight="1" x14ac:dyDescent="0.35">
      <c r="A24" s="109" t="s">
        <v>379</v>
      </c>
      <c r="B24" s="85"/>
      <c r="C24" s="85"/>
      <c r="D24" s="85"/>
      <c r="E24" s="85"/>
      <c r="F24" s="85"/>
    </row>
    <row r="25" spans="1:6" ht="22" customHeight="1" x14ac:dyDescent="0.35">
      <c r="A25" s="113" t="s">
        <v>380</v>
      </c>
      <c r="B25" s="85"/>
      <c r="C25" s="85"/>
      <c r="D25" s="85"/>
      <c r="E25" s="85"/>
      <c r="F25" s="85"/>
    </row>
    <row r="27" spans="1:6" ht="8" customHeight="1" x14ac:dyDescent="0.35"/>
    <row r="28" spans="1:6" ht="50" customHeight="1" x14ac:dyDescent="0.35">
      <c r="A28" s="110" t="s">
        <v>381</v>
      </c>
      <c r="B28" s="85"/>
      <c r="C28" s="85"/>
      <c r="D28" s="85"/>
      <c r="E28" s="85"/>
      <c r="F28" s="85"/>
    </row>
  </sheetData>
  <mergeCells count="6">
    <mergeCell ref="A24:F24"/>
    <mergeCell ref="A28:F28"/>
    <mergeCell ref="A1:F1"/>
    <mergeCell ref="A23:F23"/>
    <mergeCell ref="A22:F22"/>
    <mergeCell ref="A25:F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9C12"/>
  </sheetPr>
  <dimension ref="A1:T35"/>
  <sheetViews>
    <sheetView showGridLines="0" topLeftCell="H22" workbookViewId="0">
      <selection sqref="A1:T1"/>
    </sheetView>
  </sheetViews>
  <sheetFormatPr defaultRowHeight="14.5" x14ac:dyDescent="0.35"/>
  <cols>
    <col min="1" max="1" width="18" customWidth="1"/>
    <col min="2" max="12" width="14" customWidth="1"/>
    <col min="13" max="13" width="18" customWidth="1"/>
    <col min="14" max="20" width="14" customWidth="1"/>
  </cols>
  <sheetData>
    <row r="1" spans="1:20" ht="28" customHeight="1" x14ac:dyDescent="0.35">
      <c r="A1" s="114" t="s">
        <v>382</v>
      </c>
      <c r="B1" s="85"/>
      <c r="C1" s="85"/>
      <c r="D1" s="85"/>
      <c r="E1" s="85"/>
      <c r="F1" s="85"/>
      <c r="G1" s="85"/>
      <c r="H1" s="85"/>
      <c r="I1" s="85"/>
      <c r="J1" s="85"/>
      <c r="K1" s="85"/>
      <c r="L1" s="85"/>
      <c r="M1" s="85"/>
      <c r="N1" s="85"/>
      <c r="O1" s="85"/>
      <c r="P1" s="85"/>
      <c r="Q1" s="85"/>
      <c r="R1" s="85"/>
      <c r="S1" s="85"/>
      <c r="T1" s="85"/>
    </row>
    <row r="3" spans="1:20" x14ac:dyDescent="0.35">
      <c r="A3" s="115" t="s">
        <v>383</v>
      </c>
      <c r="B3" s="85"/>
      <c r="C3" s="85"/>
      <c r="M3" s="115" t="s">
        <v>384</v>
      </c>
      <c r="N3" s="85"/>
      <c r="O3" s="85"/>
    </row>
    <row r="4" spans="1:20" x14ac:dyDescent="0.35">
      <c r="A4" s="76" t="s">
        <v>309</v>
      </c>
      <c r="B4" s="76" t="s">
        <v>61</v>
      </c>
      <c r="C4" s="76" t="s">
        <v>62</v>
      </c>
      <c r="M4" s="76" t="s">
        <v>309</v>
      </c>
      <c r="N4" s="76" t="s">
        <v>61</v>
      </c>
      <c r="O4" s="76" t="s">
        <v>62</v>
      </c>
    </row>
    <row r="5" spans="1:20" x14ac:dyDescent="0.35">
      <c r="A5" s="77" t="s">
        <v>385</v>
      </c>
      <c r="B5" s="78">
        <v>40.4</v>
      </c>
      <c r="C5" s="79">
        <v>0</v>
      </c>
      <c r="M5" s="77" t="s">
        <v>336</v>
      </c>
      <c r="N5" s="80">
        <v>2.4500000000000002</v>
      </c>
      <c r="O5" s="81">
        <v>2.31</v>
      </c>
    </row>
    <row r="6" spans="1:20" x14ac:dyDescent="0.35">
      <c r="A6" s="77" t="s">
        <v>108</v>
      </c>
      <c r="B6" s="78">
        <v>24.2</v>
      </c>
      <c r="C6" s="79">
        <v>20.7</v>
      </c>
      <c r="M6" s="77" t="s">
        <v>386</v>
      </c>
      <c r="N6" s="80">
        <v>2.4500000000000002</v>
      </c>
      <c r="O6" s="81">
        <v>2.31</v>
      </c>
    </row>
    <row r="7" spans="1:20" x14ac:dyDescent="0.35">
      <c r="A7" s="77" t="s">
        <v>321</v>
      </c>
      <c r="B7" s="78">
        <v>19.100000000000001</v>
      </c>
      <c r="C7" s="79">
        <v>17.100000000000001</v>
      </c>
      <c r="M7" s="77" t="s">
        <v>387</v>
      </c>
      <c r="N7" s="80">
        <v>0.92</v>
      </c>
      <c r="O7" s="81">
        <v>0.71</v>
      </c>
    </row>
    <row r="8" spans="1:20" x14ac:dyDescent="0.35">
      <c r="A8" s="77" t="s">
        <v>327</v>
      </c>
      <c r="B8" s="78">
        <v>49.1</v>
      </c>
      <c r="C8" s="79">
        <v>29.7</v>
      </c>
      <c r="M8" s="77" t="s">
        <v>349</v>
      </c>
      <c r="N8" s="80">
        <v>1.62</v>
      </c>
      <c r="O8" s="81">
        <v>1.1200000000000001</v>
      </c>
    </row>
    <row r="9" spans="1:20" x14ac:dyDescent="0.35">
      <c r="A9" s="77" t="s">
        <v>331</v>
      </c>
      <c r="B9" s="78">
        <v>31</v>
      </c>
      <c r="C9" s="79">
        <v>19</v>
      </c>
      <c r="M9" s="77" t="s">
        <v>388</v>
      </c>
      <c r="N9" s="80">
        <v>5.66</v>
      </c>
      <c r="O9" s="81">
        <v>5.24</v>
      </c>
    </row>
    <row r="10" spans="1:20" x14ac:dyDescent="0.35">
      <c r="A10" s="77" t="s">
        <v>389</v>
      </c>
      <c r="B10" s="78">
        <v>56.6</v>
      </c>
      <c r="C10" s="79">
        <v>32</v>
      </c>
    </row>
    <row r="22" spans="1:15" x14ac:dyDescent="0.35">
      <c r="A22" s="115" t="s">
        <v>390</v>
      </c>
      <c r="B22" s="85"/>
      <c r="C22" s="85"/>
      <c r="M22" s="115" t="s">
        <v>391</v>
      </c>
      <c r="N22" s="85"/>
      <c r="O22" s="85"/>
    </row>
    <row r="23" spans="1:15" x14ac:dyDescent="0.35">
      <c r="A23" s="76" t="s">
        <v>309</v>
      </c>
      <c r="B23" s="76" t="s">
        <v>61</v>
      </c>
      <c r="C23" s="76" t="s">
        <v>62</v>
      </c>
      <c r="M23" s="76" t="s">
        <v>309</v>
      </c>
      <c r="N23" s="76" t="s">
        <v>61</v>
      </c>
      <c r="O23" s="76" t="s">
        <v>62</v>
      </c>
    </row>
    <row r="24" spans="1:15" x14ac:dyDescent="0.35">
      <c r="A24" s="77" t="s">
        <v>392</v>
      </c>
      <c r="B24" s="82">
        <v>240893</v>
      </c>
      <c r="C24" s="83">
        <v>153670</v>
      </c>
      <c r="M24" s="77" t="s">
        <v>393</v>
      </c>
      <c r="N24" s="78">
        <v>32</v>
      </c>
      <c r="O24" s="79">
        <v>25.5</v>
      </c>
    </row>
    <row r="25" spans="1:15" x14ac:dyDescent="0.35">
      <c r="A25" s="77" t="s">
        <v>394</v>
      </c>
      <c r="B25" s="82">
        <v>58353</v>
      </c>
      <c r="C25" s="83">
        <v>31769</v>
      </c>
      <c r="M25" s="77" t="s">
        <v>395</v>
      </c>
      <c r="N25" s="78">
        <v>16.100000000000001</v>
      </c>
      <c r="O25" s="79">
        <v>7.2</v>
      </c>
    </row>
    <row r="26" spans="1:15" x14ac:dyDescent="0.35">
      <c r="A26" s="77" t="s">
        <v>396</v>
      </c>
      <c r="B26" s="82">
        <v>46099</v>
      </c>
      <c r="C26" s="83">
        <v>26248</v>
      </c>
      <c r="M26" s="77" t="s">
        <v>397</v>
      </c>
      <c r="N26" s="78">
        <v>1.7</v>
      </c>
      <c r="O26" s="79">
        <v>2.8</v>
      </c>
    </row>
    <row r="27" spans="1:15" x14ac:dyDescent="0.35">
      <c r="A27" s="77" t="s">
        <v>398</v>
      </c>
      <c r="B27" s="82">
        <v>148572</v>
      </c>
      <c r="C27" s="83">
        <v>137814</v>
      </c>
      <c r="M27" s="77" t="s">
        <v>368</v>
      </c>
      <c r="N27" s="78">
        <v>125.9</v>
      </c>
      <c r="O27" s="79">
        <v>63.4</v>
      </c>
    </row>
    <row r="28" spans="1:15" x14ac:dyDescent="0.35">
      <c r="A28" s="77" t="s">
        <v>399</v>
      </c>
      <c r="B28" s="82">
        <v>93442</v>
      </c>
      <c r="C28" s="83">
        <v>88461</v>
      </c>
    </row>
    <row r="35" spans="1:20" ht="16" customHeight="1" x14ac:dyDescent="0.35">
      <c r="A35" s="106" t="s">
        <v>400</v>
      </c>
      <c r="B35" s="85"/>
      <c r="C35" s="85"/>
      <c r="D35" s="85"/>
      <c r="E35" s="85"/>
      <c r="F35" s="85"/>
      <c r="G35" s="85"/>
      <c r="H35" s="85"/>
      <c r="I35" s="85"/>
      <c r="J35" s="85"/>
      <c r="K35" s="85"/>
      <c r="L35" s="85"/>
      <c r="M35" s="85"/>
      <c r="N35" s="85"/>
      <c r="O35" s="85"/>
      <c r="P35" s="85"/>
      <c r="Q35" s="85"/>
      <c r="R35" s="85"/>
      <c r="S35" s="85"/>
      <c r="T35" s="85"/>
    </row>
  </sheetData>
  <mergeCells count="6">
    <mergeCell ref="A1:T1"/>
    <mergeCell ref="A35:T35"/>
    <mergeCell ref="M22:O22"/>
    <mergeCell ref="A22:C22"/>
    <mergeCell ref="M3:O3"/>
    <mergeCell ref="A3:C3"/>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7AE60"/>
  </sheetPr>
  <dimension ref="A1:F24"/>
  <sheetViews>
    <sheetView showGridLines="0" tabSelected="1" workbookViewId="0">
      <selection sqref="A1:F1"/>
    </sheetView>
  </sheetViews>
  <sheetFormatPr defaultRowHeight="14.5" x14ac:dyDescent="0.35"/>
  <cols>
    <col min="1" max="1" width="18" customWidth="1"/>
    <col min="2" max="6" width="16" customWidth="1"/>
  </cols>
  <sheetData>
    <row r="1" spans="1:6" ht="28" customHeight="1" x14ac:dyDescent="0.35">
      <c r="A1" s="104" t="s">
        <v>401</v>
      </c>
      <c r="B1" s="85"/>
      <c r="C1" s="85"/>
      <c r="D1" s="85"/>
      <c r="E1" s="85"/>
      <c r="F1" s="85"/>
    </row>
    <row r="3" spans="1:6" ht="22" customHeight="1" x14ac:dyDescent="0.35">
      <c r="A3" s="121" t="s">
        <v>402</v>
      </c>
      <c r="B3" s="85"/>
      <c r="C3" s="85"/>
      <c r="D3" s="85"/>
      <c r="E3" s="85"/>
      <c r="F3" s="85"/>
    </row>
    <row r="4" spans="1:6" ht="20" customHeight="1" x14ac:dyDescent="0.35">
      <c r="A4" s="64" t="s">
        <v>403</v>
      </c>
      <c r="B4" s="116" t="s">
        <v>404</v>
      </c>
      <c r="C4" s="117"/>
      <c r="D4" s="117"/>
      <c r="E4" s="117"/>
      <c r="F4" s="117"/>
    </row>
    <row r="5" spans="1:6" ht="80" customHeight="1" x14ac:dyDescent="0.35">
      <c r="A5" s="1"/>
      <c r="B5" s="118" t="s">
        <v>405</v>
      </c>
      <c r="C5" s="117"/>
      <c r="D5" s="117"/>
      <c r="E5" s="117"/>
      <c r="F5" s="117"/>
    </row>
    <row r="7" spans="1:6" ht="20" customHeight="1" x14ac:dyDescent="0.35">
      <c r="A7" s="64" t="s">
        <v>406</v>
      </c>
      <c r="B7" s="116" t="s">
        <v>407</v>
      </c>
      <c r="C7" s="117"/>
      <c r="D7" s="117"/>
      <c r="E7" s="117"/>
      <c r="F7" s="117"/>
    </row>
    <row r="8" spans="1:6" ht="80" customHeight="1" x14ac:dyDescent="0.35">
      <c r="A8" s="1"/>
      <c r="B8" s="118" t="s">
        <v>408</v>
      </c>
      <c r="C8" s="117"/>
      <c r="D8" s="117"/>
      <c r="E8" s="117"/>
      <c r="F8" s="117"/>
    </row>
    <row r="10" spans="1:6" ht="20" customHeight="1" x14ac:dyDescent="0.35">
      <c r="A10" s="64" t="s">
        <v>409</v>
      </c>
      <c r="B10" s="116" t="s">
        <v>410</v>
      </c>
      <c r="C10" s="117"/>
      <c r="D10" s="117"/>
      <c r="E10" s="117"/>
      <c r="F10" s="117"/>
    </row>
    <row r="11" spans="1:6" ht="80" customHeight="1" x14ac:dyDescent="0.35">
      <c r="A11" s="1"/>
      <c r="B11" s="118" t="s">
        <v>411</v>
      </c>
      <c r="C11" s="117"/>
      <c r="D11" s="117"/>
      <c r="E11" s="117"/>
      <c r="F11" s="117"/>
    </row>
    <row r="13" spans="1:6" ht="8" customHeight="1" x14ac:dyDescent="0.35"/>
    <row r="14" spans="1:6" ht="22" customHeight="1" x14ac:dyDescent="0.35">
      <c r="A14" s="121" t="s">
        <v>412</v>
      </c>
      <c r="B14" s="85"/>
      <c r="C14" s="85"/>
      <c r="D14" s="85"/>
      <c r="E14" s="85"/>
      <c r="F14" s="85"/>
    </row>
    <row r="15" spans="1:6" ht="20" customHeight="1" x14ac:dyDescent="0.35">
      <c r="A15" s="65" t="s">
        <v>413</v>
      </c>
      <c r="B15" s="122" t="s">
        <v>414</v>
      </c>
      <c r="C15" s="117"/>
      <c r="D15" s="117"/>
      <c r="E15" s="117"/>
      <c r="F15" s="117"/>
    </row>
    <row r="16" spans="1:6" ht="18" customHeight="1" x14ac:dyDescent="0.35">
      <c r="A16" s="66"/>
      <c r="B16" s="120" t="s">
        <v>415</v>
      </c>
      <c r="C16" s="117"/>
      <c r="D16" s="117"/>
      <c r="E16" s="117"/>
      <c r="F16" s="117"/>
    </row>
    <row r="17" spans="1:6" ht="90" customHeight="1" x14ac:dyDescent="0.35">
      <c r="A17" s="1"/>
      <c r="B17" s="118" t="s">
        <v>416</v>
      </c>
      <c r="C17" s="117"/>
      <c r="D17" s="117"/>
      <c r="E17" s="117"/>
      <c r="F17" s="117"/>
    </row>
    <row r="19" spans="1:6" ht="20" customHeight="1" x14ac:dyDescent="0.35">
      <c r="A19" s="65" t="s">
        <v>417</v>
      </c>
      <c r="B19" s="122" t="s">
        <v>418</v>
      </c>
      <c r="C19" s="117"/>
      <c r="D19" s="117"/>
      <c r="E19" s="117"/>
      <c r="F19" s="117"/>
    </row>
    <row r="20" spans="1:6" ht="18" customHeight="1" x14ac:dyDescent="0.35">
      <c r="A20" s="66"/>
      <c r="B20" s="120" t="s">
        <v>419</v>
      </c>
      <c r="C20" s="117"/>
      <c r="D20" s="117"/>
      <c r="E20" s="117"/>
      <c r="F20" s="117"/>
    </row>
    <row r="21" spans="1:6" ht="90" customHeight="1" x14ac:dyDescent="0.35">
      <c r="A21" s="1"/>
      <c r="B21" s="118" t="s">
        <v>420</v>
      </c>
      <c r="C21" s="117"/>
      <c r="D21" s="117"/>
      <c r="E21" s="117"/>
      <c r="F21" s="117"/>
    </row>
    <row r="24" spans="1:6" ht="40" customHeight="1" x14ac:dyDescent="0.35">
      <c r="A24" s="119" t="s">
        <v>421</v>
      </c>
      <c r="B24" s="117"/>
      <c r="C24" s="117"/>
      <c r="D24" s="117"/>
      <c r="E24" s="117"/>
      <c r="F24" s="117"/>
    </row>
  </sheetData>
  <mergeCells count="16">
    <mergeCell ref="A1:F1"/>
    <mergeCell ref="B11:F11"/>
    <mergeCell ref="B20:F20"/>
    <mergeCell ref="B5:F5"/>
    <mergeCell ref="B19:F19"/>
    <mergeCell ref="B8:F8"/>
    <mergeCell ref="A3:F3"/>
    <mergeCell ref="B17:F17"/>
    <mergeCell ref="B4:F4"/>
    <mergeCell ref="B21:F21"/>
    <mergeCell ref="A24:F24"/>
    <mergeCell ref="B7:F7"/>
    <mergeCell ref="B16:F16"/>
    <mergeCell ref="A14:F14"/>
    <mergeCell ref="B15:F15"/>
    <mergeCell ref="B10:F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Company Overview</vt:lpstr>
      <vt:lpstr>Income Statement</vt:lpstr>
      <vt:lpstr>Balance Sheet</vt:lpstr>
      <vt:lpstr>Financial Ratios</vt:lpstr>
      <vt:lpstr>Comparative Scorecard</vt:lpstr>
      <vt:lpstr>Charts</vt:lpstr>
      <vt:lpstr>Observations &amp; Reco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Lizzie</cp:lastModifiedBy>
  <dcterms:created xsi:type="dcterms:W3CDTF">2026-04-08T14:12:44Z</dcterms:created>
  <dcterms:modified xsi:type="dcterms:W3CDTF">2026-04-09T06:28:37Z</dcterms:modified>
</cp:coreProperties>
</file>