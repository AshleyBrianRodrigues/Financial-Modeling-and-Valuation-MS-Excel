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izzie\OneDrive\downloads\"/>
    </mc:Choice>
  </mc:AlternateContent>
  <bookViews>
    <workbookView xWindow="0" yWindow="0" windowWidth="19200" windowHeight="6390"/>
  </bookViews>
  <sheets>
    <sheet name="Assumptions" sheetId="6" r:id="rId1"/>
    <sheet name="Income statement" sheetId="8" r:id="rId2"/>
    <sheet name="balance sheet" sheetId="9" r:id="rId3"/>
    <sheet name="cashflow statement" sheetId="10" r:id="rId4"/>
    <sheet name="revolver" sheetId="11" r:id="rId5"/>
  </sheets>
  <calcPr calcId="152511" iterate="1" iterateCount="1000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" i="10" l="1"/>
  <c r="C12" i="11" l="1"/>
  <c r="D5" i="11"/>
  <c r="E5" i="11"/>
  <c r="F5" i="11"/>
  <c r="G5" i="11"/>
  <c r="D6" i="11"/>
  <c r="E6" i="11"/>
  <c r="F6" i="11"/>
  <c r="G6" i="11"/>
  <c r="D7" i="11"/>
  <c r="E7" i="11"/>
  <c r="F7" i="11"/>
  <c r="G7" i="11"/>
  <c r="D8" i="11"/>
  <c r="E8" i="11"/>
  <c r="F8" i="11"/>
  <c r="G8" i="11"/>
  <c r="C8" i="11"/>
  <c r="C7" i="11"/>
  <c r="C6" i="11"/>
  <c r="C5" i="11"/>
  <c r="C3" i="11"/>
  <c r="H46" i="6"/>
  <c r="G46" i="6"/>
  <c r="F46" i="6"/>
  <c r="E46" i="6"/>
  <c r="D48" i="6"/>
  <c r="E45" i="6" s="1"/>
  <c r="E48" i="6" s="1"/>
  <c r="C15" i="10"/>
  <c r="D10" i="10"/>
  <c r="E10" i="10"/>
  <c r="F10" i="10"/>
  <c r="G10" i="10"/>
  <c r="C10" i="10"/>
  <c r="G9" i="10"/>
  <c r="F9" i="10"/>
  <c r="E9" i="10"/>
  <c r="D9" i="10"/>
  <c r="C9" i="10"/>
  <c r="D15" i="10"/>
  <c r="E15" i="10"/>
  <c r="F15" i="10"/>
  <c r="G15" i="10"/>
  <c r="D12" i="10"/>
  <c r="E12" i="10"/>
  <c r="F12" i="10"/>
  <c r="G12" i="10"/>
  <c r="D14" i="10"/>
  <c r="E14" i="10"/>
  <c r="F14" i="10"/>
  <c r="G14" i="10"/>
  <c r="C14" i="10"/>
  <c r="C12" i="10"/>
  <c r="D3" i="10"/>
  <c r="E3" i="10"/>
  <c r="F3" i="10"/>
  <c r="G3" i="10"/>
  <c r="D4" i="10"/>
  <c r="E4" i="10"/>
  <c r="F4" i="10"/>
  <c r="G4" i="10"/>
  <c r="D5" i="10"/>
  <c r="E5" i="10"/>
  <c r="F5" i="10"/>
  <c r="G5" i="10"/>
  <c r="D6" i="10"/>
  <c r="E6" i="10"/>
  <c r="F6" i="10"/>
  <c r="G6" i="10"/>
  <c r="C6" i="10"/>
  <c r="C5" i="10"/>
  <c r="C4" i="10"/>
  <c r="C3" i="10"/>
  <c r="B23" i="9"/>
  <c r="D51" i="6"/>
  <c r="C54" i="6"/>
  <c r="D10" i="9"/>
  <c r="E10" i="9"/>
  <c r="F10" i="9"/>
  <c r="G10" i="9"/>
  <c r="C10" i="9"/>
  <c r="D20" i="6"/>
  <c r="E20" i="6"/>
  <c r="F20" i="6"/>
  <c r="G20" i="6"/>
  <c r="H20" i="6"/>
  <c r="C20" i="6"/>
  <c r="C7" i="9"/>
  <c r="E47" i="6"/>
  <c r="F47" i="6"/>
  <c r="G47" i="6"/>
  <c r="H47" i="6"/>
  <c r="D47" i="6"/>
  <c r="D46" i="6"/>
  <c r="D45" i="6"/>
  <c r="C48" i="6"/>
  <c r="D5" i="9"/>
  <c r="E5" i="9"/>
  <c r="F5" i="9"/>
  <c r="G5" i="9"/>
  <c r="C5" i="9"/>
  <c r="D4" i="9"/>
  <c r="E4" i="9"/>
  <c r="F4" i="9"/>
  <c r="G4" i="9"/>
  <c r="E15" i="6"/>
  <c r="F15" i="6"/>
  <c r="G15" i="6"/>
  <c r="H15" i="6"/>
  <c r="D15" i="6"/>
  <c r="E14" i="6"/>
  <c r="F14" i="6"/>
  <c r="G14" i="6"/>
  <c r="H14" i="6"/>
  <c r="D14" i="6"/>
  <c r="C4" i="9" s="1"/>
  <c r="D19" i="6"/>
  <c r="E19" i="6"/>
  <c r="F19" i="6"/>
  <c r="G19" i="6"/>
  <c r="H19" i="6"/>
  <c r="C19" i="6"/>
  <c r="D18" i="6"/>
  <c r="E18" i="6"/>
  <c r="F18" i="6"/>
  <c r="G18" i="6"/>
  <c r="H18" i="6"/>
  <c r="C18" i="6"/>
  <c r="B21" i="9"/>
  <c r="B19" i="9"/>
  <c r="B15" i="9"/>
  <c r="B12" i="9"/>
  <c r="B8" i="9"/>
  <c r="B6" i="9"/>
  <c r="D6" i="8"/>
  <c r="E6" i="8"/>
  <c r="F6" i="8"/>
  <c r="G6" i="8"/>
  <c r="C6" i="8"/>
  <c r="D24" i="6"/>
  <c r="G41" i="6"/>
  <c r="H41" i="6"/>
  <c r="C32" i="6"/>
  <c r="E41" i="6" s="1"/>
  <c r="D5" i="8"/>
  <c r="E5" i="8"/>
  <c r="F5" i="8"/>
  <c r="G5" i="8"/>
  <c r="D4" i="8"/>
  <c r="E4" i="8"/>
  <c r="F4" i="8"/>
  <c r="G4" i="8"/>
  <c r="D3" i="8"/>
  <c r="E3" i="8"/>
  <c r="F3" i="8"/>
  <c r="G3" i="8"/>
  <c r="C5" i="8"/>
  <c r="C4" i="8"/>
  <c r="C3" i="8"/>
  <c r="B18" i="9"/>
  <c r="C2" i="9"/>
  <c r="D2" i="9" s="1"/>
  <c r="C2" i="8"/>
  <c r="F45" i="6" l="1"/>
  <c r="F48" i="6" s="1"/>
  <c r="D7" i="9"/>
  <c r="G45" i="6"/>
  <c r="G48" i="6" s="1"/>
  <c r="E7" i="9"/>
  <c r="F41" i="6"/>
  <c r="D41" i="6"/>
  <c r="E2" i="9"/>
  <c r="D2" i="8"/>
  <c r="C35" i="6" a="1"/>
  <c r="C35" i="6" s="1"/>
  <c r="E22" i="6"/>
  <c r="B20" i="6"/>
  <c r="B19" i="6"/>
  <c r="B18" i="6"/>
  <c r="H45" i="6" l="1"/>
  <c r="H48" i="6" s="1"/>
  <c r="G7" i="9" s="1"/>
  <c r="F7" i="9"/>
  <c r="D43" i="6"/>
  <c r="C7" i="8" s="1"/>
  <c r="C8" i="8" s="1"/>
  <c r="F22" i="6"/>
  <c r="E24" i="6"/>
  <c r="E2" i="8"/>
  <c r="F2" i="9"/>
  <c r="H35" i="6"/>
  <c r="G35" i="6"/>
  <c r="F35" i="6"/>
  <c r="E35" i="6"/>
  <c r="D35" i="6"/>
  <c r="D42" i="6" s="1"/>
  <c r="G22" i="6" l="1"/>
  <c r="F24" i="6"/>
  <c r="G2" i="9"/>
  <c r="G2" i="8" s="1"/>
  <c r="F2" i="8"/>
  <c r="C39" i="6"/>
  <c r="H39" i="6" s="1"/>
  <c r="C38" i="6"/>
  <c r="C37" i="6"/>
  <c r="C36" i="6"/>
  <c r="H22" i="6" l="1"/>
  <c r="H24" i="6" s="1"/>
  <c r="G24" i="6"/>
  <c r="G38" i="6"/>
  <c r="H38" i="6"/>
  <c r="H36" i="6"/>
  <c r="H42" i="6" s="1"/>
  <c r="H43" i="6" s="1"/>
  <c r="G7" i="8" s="1"/>
  <c r="G8" i="8" s="1"/>
  <c r="E36" i="6"/>
  <c r="E42" i="6" s="1"/>
  <c r="E43" i="6" s="1"/>
  <c r="D7" i="8" s="1"/>
  <c r="D8" i="8" s="1"/>
  <c r="G36" i="6"/>
  <c r="F36" i="6"/>
  <c r="F37" i="6"/>
  <c r="H37" i="6"/>
  <c r="G37" i="6"/>
  <c r="F42" i="6" l="1"/>
  <c r="F43" i="6" s="1"/>
  <c r="E7" i="8" s="1"/>
  <c r="E8" i="8" s="1"/>
  <c r="G42" i="6"/>
  <c r="G43" i="6" s="1"/>
  <c r="F7" i="8" s="1"/>
  <c r="F8" i="8" s="1"/>
  <c r="E51" i="6"/>
  <c r="F51" i="6"/>
  <c r="G51" i="6"/>
  <c r="H51" i="6"/>
  <c r="D52" i="6"/>
  <c r="E52" i="6"/>
  <c r="F52" i="6"/>
  <c r="G52" i="6"/>
  <c r="H52" i="6"/>
  <c r="D54" i="6"/>
  <c r="E54" i="6"/>
  <c r="F54" i="6"/>
  <c r="G54" i="6"/>
  <c r="H54" i="6"/>
  <c r="C3" i="9"/>
  <c r="D3" i="9"/>
  <c r="E3" i="9"/>
  <c r="F3" i="9"/>
  <c r="G3" i="9"/>
  <c r="C6" i="9"/>
  <c r="D6" i="9"/>
  <c r="E6" i="9"/>
  <c r="F6" i="9"/>
  <c r="G6" i="9"/>
  <c r="C8" i="9"/>
  <c r="D8" i="9"/>
  <c r="E8" i="9"/>
  <c r="F8" i="9"/>
  <c r="G8" i="9"/>
  <c r="C11" i="9"/>
  <c r="D11" i="9"/>
  <c r="E11" i="9"/>
  <c r="F11" i="9"/>
  <c r="G11" i="9"/>
  <c r="C12" i="9"/>
  <c r="D12" i="9"/>
  <c r="E12" i="9"/>
  <c r="F12" i="9"/>
  <c r="G12" i="9"/>
  <c r="C15" i="9"/>
  <c r="D15" i="9"/>
  <c r="E15" i="9"/>
  <c r="F15" i="9"/>
  <c r="G15" i="9"/>
  <c r="C18" i="9"/>
  <c r="D18" i="9"/>
  <c r="E18" i="9"/>
  <c r="F18" i="9"/>
  <c r="G18" i="9"/>
  <c r="C19" i="9"/>
  <c r="D19" i="9"/>
  <c r="E19" i="9"/>
  <c r="F19" i="9"/>
  <c r="G19" i="9"/>
  <c r="C21" i="9"/>
  <c r="D21" i="9"/>
  <c r="E21" i="9"/>
  <c r="F21" i="9"/>
  <c r="G21" i="9"/>
  <c r="C23" i="9"/>
  <c r="D23" i="9"/>
  <c r="E23" i="9"/>
  <c r="F23" i="9"/>
  <c r="G23" i="9"/>
  <c r="C2" i="10"/>
  <c r="D2" i="10"/>
  <c r="E2" i="10"/>
  <c r="F2" i="10"/>
  <c r="G2" i="10"/>
  <c r="C7" i="10"/>
  <c r="D7" i="10"/>
  <c r="E7" i="10"/>
  <c r="F7" i="10"/>
  <c r="G7" i="10"/>
  <c r="C13" i="10"/>
  <c r="D13" i="10"/>
  <c r="E13" i="10"/>
  <c r="F13" i="10"/>
  <c r="G13" i="10"/>
  <c r="C16" i="10"/>
  <c r="D16" i="10"/>
  <c r="E16" i="10"/>
  <c r="F16" i="10"/>
  <c r="G16" i="10"/>
  <c r="D18" i="10"/>
  <c r="E18" i="10"/>
  <c r="F18" i="10"/>
  <c r="G18" i="10"/>
  <c r="C19" i="10"/>
  <c r="D19" i="10"/>
  <c r="E19" i="10"/>
  <c r="F19" i="10"/>
  <c r="G19" i="10"/>
  <c r="C20" i="10"/>
  <c r="D20" i="10"/>
  <c r="E20" i="10"/>
  <c r="F20" i="10"/>
  <c r="G20" i="10"/>
  <c r="C9" i="8"/>
  <c r="D9" i="8"/>
  <c r="E9" i="8"/>
  <c r="F9" i="8"/>
  <c r="G9" i="8"/>
  <c r="C10" i="8"/>
  <c r="D10" i="8"/>
  <c r="E10" i="8"/>
  <c r="F10" i="8"/>
  <c r="G10" i="8"/>
  <c r="C11" i="8"/>
  <c r="D11" i="8"/>
  <c r="E11" i="8"/>
  <c r="F11" i="8"/>
  <c r="G11" i="8"/>
  <c r="C12" i="8"/>
  <c r="D12" i="8"/>
  <c r="E12" i="8"/>
  <c r="F12" i="8"/>
  <c r="G12" i="8"/>
  <c r="D3" i="11"/>
  <c r="E3" i="11"/>
  <c r="F3" i="11"/>
  <c r="G3" i="11"/>
  <c r="C4" i="11"/>
  <c r="D4" i="11"/>
  <c r="E4" i="11"/>
  <c r="F4" i="11"/>
  <c r="G4" i="11"/>
  <c r="C9" i="11"/>
  <c r="D9" i="11"/>
  <c r="E9" i="11"/>
  <c r="F9" i="11"/>
  <c r="G9" i="11"/>
  <c r="D12" i="11"/>
  <c r="E12" i="11"/>
  <c r="F12" i="11"/>
  <c r="G12" i="11"/>
  <c r="C13" i="11"/>
  <c r="D13" i="11"/>
  <c r="E13" i="11"/>
  <c r="F13" i="11"/>
  <c r="G13" i="11"/>
  <c r="C14" i="11"/>
  <c r="D14" i="11"/>
  <c r="E14" i="11"/>
  <c r="F14" i="11"/>
  <c r="G14" i="11"/>
  <c r="C17" i="11"/>
  <c r="D17" i="11"/>
  <c r="E17" i="11"/>
  <c r="F17" i="11"/>
  <c r="G17" i="11"/>
  <c r="C18" i="11"/>
  <c r="D18" i="11"/>
  <c r="E18" i="11"/>
  <c r="F18" i="11"/>
  <c r="G18" i="1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<sst xmlns="http://schemas.openxmlformats.org/spreadsheetml/2006/main" count="105" uniqueCount="82">
  <si>
    <t>Income Statement</t>
  </si>
  <si>
    <t>Balance Sheet</t>
  </si>
  <si>
    <t>Cash Flow Statement</t>
  </si>
  <si>
    <t>Revenue</t>
  </si>
  <si>
    <t>Inventory</t>
  </si>
  <si>
    <t>Cash Flow from Operating Activities</t>
  </si>
  <si>
    <t>Cash Flow from Investing Activities</t>
  </si>
  <si>
    <t>Cash Flow from Financing Activities</t>
  </si>
  <si>
    <t>Beginning Cash Balance</t>
  </si>
  <si>
    <t>Change in Cash</t>
  </si>
  <si>
    <t>Retained Earnings</t>
  </si>
  <si>
    <t>COGS</t>
  </si>
  <si>
    <t>SG&amp;A</t>
  </si>
  <si>
    <t>Figures in USD millions</t>
  </si>
  <si>
    <t>Gross Profit</t>
  </si>
  <si>
    <t>Depreciation</t>
  </si>
  <si>
    <t>Operating Profit</t>
  </si>
  <si>
    <t>Interest Expense</t>
  </si>
  <si>
    <t>Earnings Before Tax</t>
  </si>
  <si>
    <t>Taxes</t>
  </si>
  <si>
    <t>Net Income</t>
  </si>
  <si>
    <t>Cash &amp; Cash Equivalents</t>
  </si>
  <si>
    <t>Accounts Receivable</t>
  </si>
  <si>
    <t>Total Current Assets</t>
  </si>
  <si>
    <t>Property Plant &amp; Equipment (PPE)</t>
  </si>
  <si>
    <t>Total Assets</t>
  </si>
  <si>
    <t>Accounts Payable</t>
  </si>
  <si>
    <t>Revolver</t>
  </si>
  <si>
    <t>Total Current Liabilities</t>
  </si>
  <si>
    <t>Long Term Debt</t>
  </si>
  <si>
    <t>Total Liabilities</t>
  </si>
  <si>
    <t>Common Stock</t>
  </si>
  <si>
    <t>Total Shareholders' Equity</t>
  </si>
  <si>
    <t>Total Liabilities &amp; Equity</t>
  </si>
  <si>
    <t>Balance Sheet Check</t>
  </si>
  <si>
    <t>Change in Accounts Receivable</t>
  </si>
  <si>
    <t>Change in Inventory</t>
  </si>
  <si>
    <t>Change in Accounts Payable</t>
  </si>
  <si>
    <t>Capital Expenditures</t>
  </si>
  <si>
    <t>Change in LT Debt</t>
  </si>
  <si>
    <t>Change in Revolver</t>
  </si>
  <si>
    <t>Change in Common Stock</t>
  </si>
  <si>
    <t>Dividends</t>
  </si>
  <si>
    <t>Supporting Schedules</t>
  </si>
  <si>
    <t>Assumptions</t>
  </si>
  <si>
    <t>Fixed Assets Schedule</t>
  </si>
  <si>
    <t>Tax Rate</t>
  </si>
  <si>
    <t>Income Statement Assumptions</t>
  </si>
  <si>
    <t>Balance Sheet Assumptions</t>
  </si>
  <si>
    <t>End of Year Cash Balance</t>
  </si>
  <si>
    <t>Beginning of Year Cash Balance</t>
  </si>
  <si>
    <t>Beginning PPE</t>
  </si>
  <si>
    <t>Capex</t>
  </si>
  <si>
    <t>Ending PPE</t>
  </si>
  <si>
    <t>Interest</t>
  </si>
  <si>
    <t>X</t>
  </si>
  <si>
    <t>Units Sold</t>
  </si>
  <si>
    <t>Price per Unit</t>
  </si>
  <si>
    <t>SG&amp;A as a % of Rev</t>
  </si>
  <si>
    <t>COGS as a % of Rev</t>
  </si>
  <si>
    <t>Existing Asset Depreciation</t>
  </si>
  <si>
    <t>New Assets Depreciation</t>
  </si>
  <si>
    <t>Total Depreciation</t>
  </si>
  <si>
    <t>New Assets Useful Life (years)</t>
  </si>
  <si>
    <t>Existing Assets Useful Life (years)</t>
  </si>
  <si>
    <t xml:space="preserve">COGS </t>
  </si>
  <si>
    <t>Retained Earnings Schedule</t>
  </si>
  <si>
    <t>End of Period RE</t>
  </si>
  <si>
    <t>Beginning of Period RE</t>
  </si>
  <si>
    <t>Available Cash</t>
  </si>
  <si>
    <t>Cash from operations</t>
  </si>
  <si>
    <t>Cash from Investing</t>
  </si>
  <si>
    <t>Cash Available for Revolver</t>
  </si>
  <si>
    <t>Beginning Balance</t>
  </si>
  <si>
    <t>Ending Balance</t>
  </si>
  <si>
    <t>Total Interest Expense</t>
  </si>
  <si>
    <t>Interest Expense %</t>
  </si>
  <si>
    <t>3 Statement Financial Model</t>
  </si>
  <si>
    <t>PP&amp;E 2023 EOP</t>
  </si>
  <si>
    <t>Figures in USD</t>
  </si>
  <si>
    <t>Revolver Interest Rate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</si>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</sst>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\A"/>
    <numFmt numFmtId="165" formatCode="0\F"/>
    <numFmt numFmtId="166" formatCode="_(#,##0_);\(#,##0\);_(&quot;–&quot;_);_(@_)"/>
    <numFmt numFmtId="167" formatCode="0.0%"/>
  </numFmts>
  <fonts count="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sz val="12"/>
      <color rgb="FF0432FF"/>
      <name val="Calibri"/>
      <family val="2"/>
      <scheme val="minor"/>
    </font>
    <font>
      <b/>
      <sz val="2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7367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40">
    <xf numFmtId="0" fontId="0" fillId="0" borderId="0" xfId="0"/>
    <xf numFmtId="0" fontId="3" fillId="0" borderId="0" xfId="0" applyFont="1"/>
    <xf numFmtId="0" fontId="4" fillId="3" borderId="0" xfId="0" applyFont="1" applyFill="1"/>
    <xf numFmtId="0" fontId="3" fillId="0" borderId="1" xfId="0" applyFont="1" applyBorder="1"/>
    <xf numFmtId="0" fontId="3" fillId="4" borderId="2" xfId="0" applyFont="1" applyFill="1" applyBorder="1"/>
    <xf numFmtId="0" fontId="2" fillId="2" borderId="0" xfId="0" applyFont="1" applyFill="1" applyAlignment="1">
      <alignment vertical="center"/>
    </xf>
    <xf numFmtId="164" fontId="0" fillId="3" borderId="0" xfId="0" applyNumberFormat="1" applyFill="1" applyAlignment="1">
      <alignment horizontal="center"/>
    </xf>
    <xf numFmtId="165" fontId="0" fillId="3" borderId="0" xfId="0" applyNumberFormat="1" applyFill="1" applyAlignment="1">
      <alignment horizontal="center"/>
    </xf>
    <xf numFmtId="0" fontId="3" fillId="0" borderId="2" xfId="0" applyFont="1" applyBorder="1"/>
    <xf numFmtId="0" fontId="0" fillId="3" borderId="0" xfId="0" applyFill="1"/>
    <xf numFmtId="166" fontId="0" fillId="0" borderId="0" xfId="0" applyNumberFormat="1"/>
    <xf numFmtId="166" fontId="3" fillId="0" borderId="1" xfId="0" applyNumberFormat="1" applyFont="1" applyBorder="1"/>
    <xf numFmtId="166" fontId="3" fillId="4" borderId="2" xfId="0" applyNumberFormat="1" applyFont="1" applyFill="1" applyBorder="1"/>
    <xf numFmtId="166" fontId="5" fillId="0" borderId="0" xfId="0" applyNumberFormat="1" applyFont="1"/>
    <xf numFmtId="166" fontId="3" fillId="0" borderId="2" xfId="0" applyNumberFormat="1" applyFont="1" applyBorder="1"/>
    <xf numFmtId="0" fontId="5" fillId="0" borderId="0" xfId="0" applyFont="1"/>
    <xf numFmtId="167" fontId="0" fillId="0" borderId="0" xfId="1" applyNumberFormat="1" applyFont="1"/>
    <xf numFmtId="167" fontId="0" fillId="0" borderId="0" xfId="0" applyNumberFormat="1"/>
    <xf numFmtId="167" fontId="5" fillId="0" borderId="0" xfId="0" applyNumberFormat="1" applyFont="1"/>
    <xf numFmtId="167" fontId="5" fillId="0" borderId="0" xfId="1" applyNumberFormat="1" applyFont="1"/>
    <xf numFmtId="166" fontId="3" fillId="0" borderId="0" xfId="0" applyNumberFormat="1" applyFont="1"/>
    <xf numFmtId="1" fontId="5" fillId="0" borderId="0" xfId="0" applyNumberFormat="1" applyFont="1"/>
    <xf numFmtId="0" fontId="0" fillId="2" borderId="0" xfId="0" applyFill="1"/>
    <xf numFmtId="0" fontId="4" fillId="5" borderId="0" xfId="0" applyFont="1" applyFill="1"/>
    <xf numFmtId="166" fontId="4" fillId="5" borderId="0" xfId="0" applyNumberFormat="1" applyFont="1" applyFill="1"/>
    <xf numFmtId="0" fontId="6" fillId="2" borderId="0" xfId="0" applyFont="1" applyFill="1" applyAlignment="1">
      <alignment horizontal="left" vertical="center" indent="1"/>
    </xf>
    <xf numFmtId="0" fontId="3" fillId="3" borderId="0" xfId="0" applyFont="1" applyFill="1"/>
    <xf numFmtId="0" fontId="6" fillId="6" borderId="0" xfId="0" applyFont="1" applyFill="1" applyAlignment="1">
      <alignment horizontal="left" vertical="center" indent="1"/>
    </xf>
    <xf numFmtId="0" fontId="0" fillId="6" borderId="0" xfId="0" applyFill="1"/>
    <xf numFmtId="0" fontId="0" fillId="3" borderId="0" xfId="0" applyFont="1" applyFill="1"/>
    <xf numFmtId="166" fontId="3" fillId="4" borderId="3" xfId="0" applyNumberFormat="1" applyFont="1" applyFill="1" applyBorder="1"/>
    <xf numFmtId="164" fontId="0" fillId="3" borderId="4" xfId="0" applyNumberFormat="1" applyFont="1" applyFill="1" applyBorder="1" applyAlignment="1">
      <alignment horizontal="center"/>
    </xf>
    <xf numFmtId="166" fontId="0" fillId="0" borderId="4" xfId="0" applyNumberFormat="1" applyBorder="1"/>
    <xf numFmtId="166" fontId="3" fillId="0" borderId="5" xfId="0" applyNumberFormat="1" applyFont="1" applyBorder="1"/>
    <xf numFmtId="166" fontId="5" fillId="0" borderId="4" xfId="0" applyNumberFormat="1" applyFont="1" applyBorder="1"/>
    <xf numFmtId="166" fontId="3" fillId="4" borderId="6" xfId="0" applyNumberFormat="1" applyFont="1" applyFill="1" applyBorder="1"/>
    <xf numFmtId="165" fontId="0" fillId="3" borderId="7" xfId="0" applyNumberFormat="1" applyFill="1" applyBorder="1" applyAlignment="1">
      <alignment horizontal="center"/>
    </xf>
    <xf numFmtId="166" fontId="0" fillId="0" borderId="7" xfId="0" applyNumberFormat="1" applyBorder="1"/>
    <xf numFmtId="166" fontId="3" fillId="0" borderId="8" xfId="0" applyNumberFormat="1" applyFont="1" applyBorder="1"/>
    <xf numFmtId="166" fontId="0" fillId="7" borderId="7" xfId="0" applyNumberFormat="1" applyFill="1" applyBorder="1"/>
  </cellXfs>
  <cellStyles count="3">
    <cellStyle name="Hyperlink 2" xfId="2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432FF"/>
      <color rgb="FF073673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04"/>
  <sheetViews>
    <sheetView tabSelected="1" topLeftCell="B19" zoomScale="115" zoomScaleNormal="115" workbookViewId="0">
      <selection activeCell="H47" sqref="H47"/>
    </sheetView>
  </sheetViews>
  <sheetFormatPr defaultColWidth="8.83203125" defaultRowHeight="15.5" x14ac:dyDescent="0.35"/>
  <cols>
    <col min="1" max="1" width="4.1640625" customWidth="1"/>
    <col min="2" max="2" width="30.5" customWidth="1"/>
    <col min="3" max="3" width="10.33203125" customWidth="1"/>
    <col min="4" max="8" width="9.08203125" bestFit="1" customWidth="1"/>
  </cols>
  <sheetData>
    <row r="2" spans="1:8" ht="49" customHeight="1" x14ac:dyDescent="0.35">
      <c r="B2" s="25" t="s">
        <v>77</v>
      </c>
      <c r="C2" s="22"/>
      <c r="D2" s="22"/>
      <c r="E2" s="22"/>
      <c r="F2" s="22"/>
      <c r="G2" s="22"/>
      <c r="H2" s="22"/>
    </row>
    <row r="3" spans="1:8" s="28" customFormat="1" ht="49" customHeight="1" x14ac:dyDescent="0.35">
      <c r="B3" s="27"/>
    </row>
    <row r="4" spans="1:8" x14ac:dyDescent="0.35">
      <c r="A4" t="s">
        <v>55</v>
      </c>
      <c r="B4" s="5" t="s">
        <v>44</v>
      </c>
      <c r="C4" s="5"/>
      <c r="D4" s="5"/>
      <c r="E4" s="5"/>
      <c r="F4" s="5"/>
      <c r="G4" s="5"/>
      <c r="H4" s="5"/>
    </row>
    <row r="5" spans="1:8" x14ac:dyDescent="0.35">
      <c r="B5" s="26" t="s">
        <v>47</v>
      </c>
      <c r="C5" s="9"/>
      <c r="D5" s="9"/>
      <c r="E5" s="9"/>
      <c r="F5" s="9"/>
      <c r="G5" s="9"/>
      <c r="H5" s="9"/>
    </row>
    <row r="6" spans="1:8" x14ac:dyDescent="0.35">
      <c r="B6" t="s">
        <v>56</v>
      </c>
      <c r="C6" s="21"/>
      <c r="D6" s="21">
        <v>400</v>
      </c>
      <c r="E6" s="21">
        <v>420</v>
      </c>
      <c r="F6" s="21">
        <v>450</v>
      </c>
      <c r="G6" s="21">
        <v>475</v>
      </c>
      <c r="H6" s="21">
        <v>500</v>
      </c>
    </row>
    <row r="7" spans="1:8" x14ac:dyDescent="0.35">
      <c r="B7" t="s">
        <v>57</v>
      </c>
      <c r="C7" s="21"/>
      <c r="D7" s="21">
        <v>495.95</v>
      </c>
      <c r="E7" s="21">
        <v>495.95</v>
      </c>
      <c r="F7" s="21">
        <v>495.95</v>
      </c>
      <c r="G7" s="21">
        <v>495.95</v>
      </c>
      <c r="H7" s="21">
        <v>495.95</v>
      </c>
    </row>
    <row r="9" spans="1:8" x14ac:dyDescent="0.35">
      <c r="B9" t="s">
        <v>59</v>
      </c>
      <c r="C9" s="19"/>
      <c r="D9" s="19">
        <v>0.43</v>
      </c>
      <c r="E9" s="19">
        <v>0.43</v>
      </c>
      <c r="F9" s="19">
        <v>0.4</v>
      </c>
      <c r="G9" s="19">
        <v>0.38</v>
      </c>
      <c r="H9" s="19">
        <v>0.38</v>
      </c>
    </row>
    <row r="10" spans="1:8" x14ac:dyDescent="0.35">
      <c r="B10" t="s">
        <v>58</v>
      </c>
      <c r="C10" s="19"/>
      <c r="D10" s="19">
        <v>0.35</v>
      </c>
      <c r="E10" s="18">
        <v>0.35</v>
      </c>
      <c r="F10" s="18">
        <v>0.35</v>
      </c>
      <c r="G10" s="18">
        <v>0.35</v>
      </c>
      <c r="H10" s="18">
        <v>0.35</v>
      </c>
    </row>
    <row r="11" spans="1:8" x14ac:dyDescent="0.35">
      <c r="C11" s="16"/>
      <c r="D11" s="17"/>
      <c r="E11" s="17"/>
      <c r="F11" s="17"/>
      <c r="G11" s="17"/>
      <c r="H11" s="17"/>
    </row>
    <row r="12" spans="1:8" x14ac:dyDescent="0.35">
      <c r="B12" t="s">
        <v>46</v>
      </c>
      <c r="C12" s="18"/>
      <c r="D12" s="18">
        <v>0.21</v>
      </c>
      <c r="E12" s="18">
        <v>0.21</v>
      </c>
      <c r="F12" s="18">
        <v>0.21</v>
      </c>
      <c r="G12" s="18">
        <v>0.21</v>
      </c>
      <c r="H12" s="18">
        <v>0.21</v>
      </c>
    </row>
    <row r="14" spans="1:8" x14ac:dyDescent="0.35">
      <c r="B14" t="s">
        <v>3</v>
      </c>
      <c r="C14" s="13">
        <v>158997</v>
      </c>
      <c r="D14" s="10">
        <f>'Income statement'!C3</f>
        <v>198380</v>
      </c>
      <c r="E14" s="10">
        <f>'Income statement'!D3</f>
        <v>208299</v>
      </c>
      <c r="F14" s="10">
        <f>'Income statement'!E3</f>
        <v>223177.5</v>
      </c>
      <c r="G14" s="10">
        <f>'Income statement'!F3</f>
        <v>235576.25</v>
      </c>
      <c r="H14" s="10">
        <f>'Income statement'!G3</f>
        <v>247975</v>
      </c>
    </row>
    <row r="15" spans="1:8" x14ac:dyDescent="0.35">
      <c r="B15" t="s">
        <v>65</v>
      </c>
      <c r="C15" s="13">
        <v>75889</v>
      </c>
      <c r="D15" s="10">
        <f>-'Income statement'!C4</f>
        <v>85303.4</v>
      </c>
      <c r="E15" s="10">
        <f>-'Income statement'!D4</f>
        <v>89568.569999999992</v>
      </c>
      <c r="F15" s="10">
        <f>-'Income statement'!E4</f>
        <v>89271</v>
      </c>
      <c r="G15" s="10">
        <f>-'Income statement'!F4</f>
        <v>89518.975000000006</v>
      </c>
      <c r="H15" s="10">
        <f>-'Income statement'!G4</f>
        <v>94230.5</v>
      </c>
    </row>
    <row r="17" spans="1:8" x14ac:dyDescent="0.35">
      <c r="B17" s="26" t="s">
        <v>48</v>
      </c>
      <c r="C17" s="9"/>
      <c r="D17" s="9"/>
      <c r="E17" s="9"/>
      <c r="F17" s="9"/>
      <c r="G17" s="9"/>
      <c r="H17" s="9"/>
    </row>
    <row r="18" spans="1:8" x14ac:dyDescent="0.35">
      <c r="B18" t="str">
        <f>'balance sheet'!A4&amp;" as a % of Rev"</f>
        <v>Accounts Receivable as a % of Rev</v>
      </c>
      <c r="C18" s="16">
        <f>'balance sheet'!$B$4/Assumptions!$C$14</f>
        <v>6.2120668943439185E-2</v>
      </c>
      <c r="D18" s="16">
        <f>'balance sheet'!$B$4/Assumptions!$C$14</f>
        <v>6.2120668943439185E-2</v>
      </c>
      <c r="E18" s="16">
        <f>'balance sheet'!$B$4/Assumptions!$C$14</f>
        <v>6.2120668943439185E-2</v>
      </c>
      <c r="F18" s="16">
        <f>'balance sheet'!$B$4/Assumptions!$C$14</f>
        <v>6.2120668943439185E-2</v>
      </c>
      <c r="G18" s="16">
        <f>'balance sheet'!$B$4/Assumptions!$C$14</f>
        <v>6.2120668943439185E-2</v>
      </c>
      <c r="H18" s="16">
        <f>'balance sheet'!$B$4/Assumptions!$C$14</f>
        <v>6.2120668943439185E-2</v>
      </c>
    </row>
    <row r="19" spans="1:8" x14ac:dyDescent="0.35">
      <c r="B19" t="str">
        <f>'balance sheet'!A5&amp;" as a % of COGS"</f>
        <v>Inventory as a % of COGS</v>
      </c>
      <c r="C19" s="16">
        <f>'balance sheet'!$B$5/Assumptions!$C$15</f>
        <v>0.11304668660807232</v>
      </c>
      <c r="D19" s="16">
        <f>'balance sheet'!$B$5/Assumptions!$C$15</f>
        <v>0.11304668660807232</v>
      </c>
      <c r="E19" s="16">
        <f>'balance sheet'!$B$5/Assumptions!$C$15</f>
        <v>0.11304668660807232</v>
      </c>
      <c r="F19" s="16">
        <f>'balance sheet'!$B$5/Assumptions!$C$15</f>
        <v>0.11304668660807232</v>
      </c>
      <c r="G19" s="16">
        <f>'balance sheet'!$B$5/Assumptions!$C$15</f>
        <v>0.11304668660807232</v>
      </c>
      <c r="H19" s="16">
        <f>'balance sheet'!$B$5/Assumptions!$C$15</f>
        <v>0.11304668660807232</v>
      </c>
    </row>
    <row r="20" spans="1:8" x14ac:dyDescent="0.35">
      <c r="B20" t="str">
        <f>'balance sheet'!A10&amp;" as a % of COGS"</f>
        <v>Accounts Payable as a % of COGS</v>
      </c>
      <c r="C20" s="16">
        <f>'balance sheet'!$B$10/Assumptions!$C$15</f>
        <v>0.1960758476195496</v>
      </c>
      <c r="D20" s="16">
        <f>'balance sheet'!$B$10/Assumptions!$C$15</f>
        <v>0.1960758476195496</v>
      </c>
      <c r="E20" s="16">
        <f>'balance sheet'!$B$10/Assumptions!$C$15</f>
        <v>0.1960758476195496</v>
      </c>
      <c r="F20" s="16">
        <f>'balance sheet'!$B$10/Assumptions!$C$15</f>
        <v>0.1960758476195496</v>
      </c>
      <c r="G20" s="16">
        <f>'balance sheet'!$B$10/Assumptions!$C$15</f>
        <v>0.1960758476195496</v>
      </c>
      <c r="H20" s="16">
        <f>'balance sheet'!$B$10/Assumptions!$C$15</f>
        <v>0.1960758476195496</v>
      </c>
    </row>
    <row r="22" spans="1:8" x14ac:dyDescent="0.35">
      <c r="B22" t="s">
        <v>29</v>
      </c>
      <c r="C22" s="13"/>
      <c r="D22" s="13">
        <v>40000</v>
      </c>
      <c r="E22" s="13">
        <f>D22</f>
        <v>40000</v>
      </c>
      <c r="F22" s="13">
        <f>E22</f>
        <v>40000</v>
      </c>
      <c r="G22" s="13">
        <f>F22</f>
        <v>40000</v>
      </c>
      <c r="H22" s="13">
        <f>G22</f>
        <v>40000</v>
      </c>
    </row>
    <row r="23" spans="1:8" x14ac:dyDescent="0.35">
      <c r="B23" t="s">
        <v>76</v>
      </c>
      <c r="C23" s="19"/>
      <c r="D23" s="19">
        <v>7.0000000000000007E-2</v>
      </c>
      <c r="E23" s="19">
        <v>7.0000000000000007E-2</v>
      </c>
      <c r="F23" s="19">
        <v>7.0000000000000007E-2</v>
      </c>
      <c r="G23" s="19">
        <v>7.0000000000000007E-2</v>
      </c>
      <c r="H23" s="19">
        <v>7.0000000000000007E-2</v>
      </c>
    </row>
    <row r="24" spans="1:8" x14ac:dyDescent="0.35">
      <c r="B24" t="s">
        <v>17</v>
      </c>
      <c r="C24" s="10"/>
      <c r="D24" s="10">
        <f>D22*D23</f>
        <v>2800.0000000000005</v>
      </c>
      <c r="E24" s="10">
        <f t="shared" ref="E24:H24" si="0">E22*E23</f>
        <v>2800.0000000000005</v>
      </c>
      <c r="F24" s="10">
        <f t="shared" si="0"/>
        <v>2800.0000000000005</v>
      </c>
      <c r="G24" s="10">
        <f t="shared" si="0"/>
        <v>2800.0000000000005</v>
      </c>
      <c r="H24" s="10">
        <f t="shared" si="0"/>
        <v>2800.0000000000005</v>
      </c>
    </row>
    <row r="25" spans="1:8" x14ac:dyDescent="0.35">
      <c r="B25" s="1"/>
      <c r="C25" s="20"/>
      <c r="D25" s="20"/>
      <c r="E25" s="20"/>
      <c r="F25" s="20"/>
      <c r="G25" s="20"/>
      <c r="H25" s="20"/>
    </row>
    <row r="26" spans="1:8" x14ac:dyDescent="0.35">
      <c r="A26" t="s">
        <v>55</v>
      </c>
      <c r="B26" s="5" t="s">
        <v>43</v>
      </c>
      <c r="C26" s="5"/>
      <c r="D26" s="5"/>
      <c r="E26" s="5"/>
      <c r="F26" s="5"/>
      <c r="G26" s="5"/>
      <c r="H26" s="5"/>
    </row>
    <row r="27" spans="1:8" x14ac:dyDescent="0.35">
      <c r="B27" s="26" t="s">
        <v>45</v>
      </c>
      <c r="C27" s="9"/>
      <c r="D27" s="9"/>
      <c r="E27" s="9"/>
      <c r="F27" s="9"/>
      <c r="G27" s="9"/>
      <c r="H27" s="9"/>
    </row>
    <row r="28" spans="1:8" x14ac:dyDescent="0.35">
      <c r="B28" t="s">
        <v>52</v>
      </c>
      <c r="D28" s="13">
        <v>15000</v>
      </c>
      <c r="E28" s="13">
        <v>12000</v>
      </c>
      <c r="F28" s="13">
        <v>10000</v>
      </c>
      <c r="G28" s="13">
        <v>7500</v>
      </c>
      <c r="H28" s="13">
        <v>7500</v>
      </c>
    </row>
    <row r="30" spans="1:8" x14ac:dyDescent="0.35">
      <c r="B30" t="s">
        <v>64</v>
      </c>
      <c r="C30" s="15">
        <v>10</v>
      </c>
    </row>
    <row r="31" spans="1:8" x14ac:dyDescent="0.35">
      <c r="B31" t="s">
        <v>63</v>
      </c>
      <c r="C31" s="15">
        <v>10</v>
      </c>
    </row>
    <row r="32" spans="1:8" x14ac:dyDescent="0.35">
      <c r="B32" t="s">
        <v>78</v>
      </c>
      <c r="C32" s="10">
        <f>'balance sheet'!B7</f>
        <v>48990</v>
      </c>
    </row>
    <row r="34" spans="2:8" x14ac:dyDescent="0.35">
      <c r="C34" s="1" t="s">
        <v>52</v>
      </c>
      <c r="D34" s="1">
        <v>2024</v>
      </c>
      <c r="E34" s="1">
        <v>2025</v>
      </c>
      <c r="F34" s="1">
        <v>2026</v>
      </c>
      <c r="G34" s="1">
        <v>2027</v>
      </c>
      <c r="H34" s="1">
        <v>2028</v>
      </c>
    </row>
    <row r="35" spans="2:8" x14ac:dyDescent="0.35">
      <c r="C35" s="10" cm="1">
        <f t="array" ref="C35:C39">TRANSPOSE(D28:H28)</f>
        <v>15000</v>
      </c>
      <c r="D35" s="10">
        <f>$C35/$C$31</f>
        <v>1500</v>
      </c>
      <c r="E35" s="10">
        <f>$C35/$C$31</f>
        <v>1500</v>
      </c>
      <c r="F35" s="10">
        <f>$C35/$C$31</f>
        <v>1500</v>
      </c>
      <c r="G35" s="10">
        <f>$C35/$C$31</f>
        <v>1500</v>
      </c>
      <c r="H35" s="10">
        <f>$C35/$C$31</f>
        <v>1500</v>
      </c>
    </row>
    <row r="36" spans="2:8" x14ac:dyDescent="0.35">
      <c r="C36" s="10">
        <v>12000</v>
      </c>
      <c r="D36" s="10"/>
      <c r="E36" s="10">
        <f>$C36/$C$31</f>
        <v>1200</v>
      </c>
      <c r="F36" s="10">
        <f>$C36/$C$31</f>
        <v>1200</v>
      </c>
      <c r="G36" s="10">
        <f>$C36/$C$31</f>
        <v>1200</v>
      </c>
      <c r="H36" s="10">
        <f>$C36/$C$31</f>
        <v>1200</v>
      </c>
    </row>
    <row r="37" spans="2:8" x14ac:dyDescent="0.35">
      <c r="C37" s="10">
        <v>10000</v>
      </c>
      <c r="D37" s="10"/>
      <c r="E37" s="10"/>
      <c r="F37" s="10">
        <f>$C37/$C$31</f>
        <v>1000</v>
      </c>
      <c r="G37" s="10">
        <f>$C37/$C$31</f>
        <v>1000</v>
      </c>
      <c r="H37" s="10">
        <f>$C37/$C$31</f>
        <v>1000</v>
      </c>
    </row>
    <row r="38" spans="2:8" x14ac:dyDescent="0.35">
      <c r="C38" s="10">
        <v>7500</v>
      </c>
      <c r="D38" s="10"/>
      <c r="E38" s="10"/>
      <c r="F38" s="10"/>
      <c r="G38" s="10">
        <f>$C38/$C$31</f>
        <v>750</v>
      </c>
      <c r="H38" s="10">
        <f>$C38/$C$31</f>
        <v>750</v>
      </c>
    </row>
    <row r="39" spans="2:8" x14ac:dyDescent="0.35">
      <c r="C39" s="10">
        <v>7500</v>
      </c>
      <c r="D39" s="10"/>
      <c r="E39" s="10"/>
      <c r="F39" s="10"/>
      <c r="G39" s="10"/>
      <c r="H39" s="10">
        <f>$C39/$C$31</f>
        <v>750</v>
      </c>
    </row>
    <row r="41" spans="2:8" x14ac:dyDescent="0.35">
      <c r="B41" t="s">
        <v>60</v>
      </c>
      <c r="D41" s="10">
        <f>$C$32/$C$30</f>
        <v>4899</v>
      </c>
      <c r="E41" s="10">
        <f t="shared" ref="E41:H41" si="1">$C$32/$C$30</f>
        <v>4899</v>
      </c>
      <c r="F41" s="10">
        <f t="shared" si="1"/>
        <v>4899</v>
      </c>
      <c r="G41" s="10">
        <f t="shared" si="1"/>
        <v>4899</v>
      </c>
      <c r="H41" s="10">
        <f t="shared" si="1"/>
        <v>4899</v>
      </c>
    </row>
    <row r="42" spans="2:8" x14ac:dyDescent="0.35">
      <c r="B42" t="s">
        <v>61</v>
      </c>
      <c r="D42" s="10">
        <f>SUM(D35:D39)</f>
        <v>1500</v>
      </c>
      <c r="E42" s="10">
        <f t="shared" ref="E42:H42" si="2">SUM(E35:E39)</f>
        <v>2700</v>
      </c>
      <c r="F42" s="10">
        <f t="shared" si="2"/>
        <v>3700</v>
      </c>
      <c r="G42" s="10">
        <f t="shared" si="2"/>
        <v>4450</v>
      </c>
      <c r="H42" s="10">
        <f t="shared" si="2"/>
        <v>5200</v>
      </c>
    </row>
    <row r="43" spans="2:8" x14ac:dyDescent="0.35">
      <c r="B43" s="8" t="s">
        <v>62</v>
      </c>
      <c r="C43" s="8"/>
      <c r="D43" s="14">
        <f>SUM(D41:D42)</f>
        <v>6399</v>
      </c>
      <c r="E43" s="14">
        <f t="shared" ref="E43:H43" si="3">SUM(E41:E42)</f>
        <v>7599</v>
      </c>
      <c r="F43" s="14">
        <f t="shared" si="3"/>
        <v>8599</v>
      </c>
      <c r="G43" s="14">
        <f t="shared" si="3"/>
        <v>9349</v>
      </c>
      <c r="H43" s="14">
        <f t="shared" si="3"/>
        <v>10099</v>
      </c>
    </row>
    <row r="45" spans="2:8" x14ac:dyDescent="0.35">
      <c r="B45" t="s">
        <v>51</v>
      </c>
      <c r="D45" s="10">
        <f>C48</f>
        <v>48990</v>
      </c>
      <c r="E45" s="10">
        <f t="shared" ref="E45:H45" si="4">D48</f>
        <v>57591</v>
      </c>
      <c r="F45" s="10">
        <f t="shared" si="4"/>
        <v>61992</v>
      </c>
      <c r="G45" s="10">
        <f t="shared" si="4"/>
        <v>63393</v>
      </c>
      <c r="H45" s="10">
        <f t="shared" si="4"/>
        <v>61544</v>
      </c>
    </row>
    <row r="46" spans="2:8" x14ac:dyDescent="0.35">
      <c r="B46" t="s">
        <v>52</v>
      </c>
      <c r="D46" s="10">
        <f>C35</f>
        <v>15000</v>
      </c>
      <c r="E46" s="10">
        <f>C36</f>
        <v>12000</v>
      </c>
      <c r="F46" s="10">
        <f>C37</f>
        <v>10000</v>
      </c>
      <c r="G46" s="10">
        <f>C38</f>
        <v>7500</v>
      </c>
      <c r="H46" s="10">
        <f>C39</f>
        <v>7500</v>
      </c>
    </row>
    <row r="47" spans="2:8" x14ac:dyDescent="0.35">
      <c r="B47" t="s">
        <v>15</v>
      </c>
      <c r="D47" s="10">
        <f>-D43</f>
        <v>-6399</v>
      </c>
      <c r="E47" s="10">
        <f t="shared" ref="E47:H47" si="5">-E43</f>
        <v>-7599</v>
      </c>
      <c r="F47" s="10">
        <f t="shared" si="5"/>
        <v>-8599</v>
      </c>
      <c r="G47" s="10">
        <f t="shared" si="5"/>
        <v>-9349</v>
      </c>
      <c r="H47" s="10">
        <f t="shared" si="5"/>
        <v>-10099</v>
      </c>
    </row>
    <row r="48" spans="2:8" x14ac:dyDescent="0.35">
      <c r="B48" s="3" t="s">
        <v>53</v>
      </c>
      <c r="C48" s="11">
        <f>C32</f>
        <v>48990</v>
      </c>
      <c r="D48" s="11">
        <f>SUM(D45:D47)</f>
        <v>57591</v>
      </c>
      <c r="E48" s="11">
        <f t="shared" ref="E48:H48" si="6">SUM(E45:E47)</f>
        <v>61992</v>
      </c>
      <c r="F48" s="11">
        <f t="shared" si="6"/>
        <v>63393</v>
      </c>
      <c r="G48" s="11">
        <f t="shared" si="6"/>
        <v>61544</v>
      </c>
      <c r="H48" s="11">
        <f t="shared" si="6"/>
        <v>58945</v>
      </c>
    </row>
    <row r="50" spans="1:8" x14ac:dyDescent="0.35">
      <c r="A50" t="s">
        <v>55</v>
      </c>
      <c r="B50" s="26" t="s">
        <v>66</v>
      </c>
      <c r="C50" s="9"/>
      <c r="D50" s="9"/>
      <c r="E50" s="9"/>
      <c r="F50" s="9"/>
      <c r="G50" s="9"/>
      <c r="H50" s="9"/>
    </row>
    <row r="51" spans="1:8" x14ac:dyDescent="0.35">
      <c r="B51" t="s">
        <v>68</v>
      </c>
      <c r="C51" s="10"/>
      <c r="D51" s="10">
        <f>C54</f>
        <v>2155</v>
      </c>
      <c r="E51" s="10">
        <f t="shared" ref="E51:H51" ca="1" si="7">D54</f>
        <v>19366.234000000004</v>
      </c>
      <c r="F51" s="10">
        <f t="shared" ca="1" si="7"/>
        <v>34853.390200000016</v>
      </c>
      <c r="G51" s="10">
        <f t="shared" ca="1" si="7"/>
        <v>54925.736450000026</v>
      </c>
      <c r="H51" s="10">
        <f t="shared" ca="1" si="7"/>
        <v>75576.440575000015</v>
      </c>
    </row>
    <row r="52" spans="1:8" x14ac:dyDescent="0.35">
      <c r="B52" t="s">
        <v>20</v>
      </c>
      <c r="C52" s="10"/>
      <c r="D52" s="10">
        <f ca="1">'Income statement'!C12</f>
        <v>27211.234000000004</v>
      </c>
      <c r="E52" s="10">
        <f ca="1">'Income statement'!D12</f>
        <v>27987.156200000012</v>
      </c>
      <c r="F52" s="10">
        <f ca="1">'Income statement'!E12</f>
        <v>35072.346250000002</v>
      </c>
      <c r="G52" s="10">
        <f ca="1">'Income statement'!F12</f>
        <v>40650.704124999997</v>
      </c>
      <c r="H52" s="10">
        <f ca="1">'Income statement'!G12</f>
        <v>42702.857499999998</v>
      </c>
    </row>
    <row r="53" spans="1:8" x14ac:dyDescent="0.35">
      <c r="B53" t="s">
        <v>42</v>
      </c>
      <c r="C53" s="10"/>
      <c r="D53" s="13">
        <v>-10000</v>
      </c>
      <c r="E53" s="13">
        <v>-12500</v>
      </c>
      <c r="F53" s="13">
        <v>-15000</v>
      </c>
      <c r="G53" s="13">
        <v>-20000</v>
      </c>
      <c r="H53" s="13">
        <v>-25000</v>
      </c>
    </row>
    <row r="54" spans="1:8" x14ac:dyDescent="0.35">
      <c r="B54" s="8" t="s">
        <v>67</v>
      </c>
      <c r="C54" s="14">
        <f>'balance sheet'!B18</f>
        <v>2155</v>
      </c>
      <c r="D54" s="14">
        <f ca="1">SUM(D51:D53)</f>
        <v>19366.234000000004</v>
      </c>
      <c r="E54" s="14">
        <f t="shared" ref="E54:H54" ca="1" si="8">SUM(E51:E53)</f>
        <v>34853.390200000016</v>
      </c>
      <c r="F54" s="14">
        <f t="shared" ca="1" si="8"/>
        <v>54925.736450000026</v>
      </c>
      <c r="G54" s="14">
        <f t="shared" ca="1" si="8"/>
        <v>75576.440575000015</v>
      </c>
      <c r="H54" s="14">
        <f t="shared" ca="1" si="8"/>
        <v>93279.298075000013</v>
      </c>
    </row>
    <row r="56" spans="1:8" x14ac:dyDescent="0.35">
      <c r="A56" t="s">
        <v>55</v>
      </c>
    </row>
    <row r="68" spans="1:9" x14ac:dyDescent="0.35">
      <c r="I68" s="10"/>
    </row>
    <row r="73" spans="1:9" x14ac:dyDescent="0.35">
      <c r="A73" t="s">
        <v>55</v>
      </c>
    </row>
    <row r="81" s="1" customFormat="1" x14ac:dyDescent="0.35"/>
    <row r="104" spans="1:1" x14ac:dyDescent="0.35">
      <c r="A104" t="s">
        <v>55</v>
      </c>
    </row>
  </sheetData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>
      <selection activeCell="G16" sqref="G16"/>
    </sheetView>
  </sheetViews>
  <sheetFormatPr defaultRowHeight="15.5" x14ac:dyDescent="0.35"/>
  <cols>
    <col min="2" max="2" width="10.5" customWidth="1"/>
    <col min="3" max="7" width="8.9140625" bestFit="1" customWidth="1"/>
  </cols>
  <sheetData>
    <row r="1" spans="1:7" x14ac:dyDescent="0.35">
      <c r="A1" s="5" t="s">
        <v>0</v>
      </c>
      <c r="B1" s="5"/>
      <c r="C1" s="5"/>
      <c r="D1" s="5"/>
      <c r="E1" s="5"/>
      <c r="F1" s="5"/>
      <c r="G1" s="5"/>
    </row>
    <row r="2" spans="1:7" x14ac:dyDescent="0.35">
      <c r="A2" s="29" t="s">
        <v>13</v>
      </c>
      <c r="B2" s="31"/>
      <c r="C2" s="36">
        <f>'balance sheet'!C2</f>
        <v>2024</v>
      </c>
      <c r="D2" s="36">
        <f>'balance sheet'!D2</f>
        <v>2025</v>
      </c>
      <c r="E2" s="36">
        <f>'balance sheet'!E2</f>
        <v>2026</v>
      </c>
      <c r="F2" s="36">
        <f>'balance sheet'!F2</f>
        <v>2027</v>
      </c>
      <c r="G2" s="36">
        <f>'balance sheet'!G2</f>
        <v>2028</v>
      </c>
    </row>
    <row r="3" spans="1:7" x14ac:dyDescent="0.35">
      <c r="A3" t="s">
        <v>3</v>
      </c>
      <c r="B3" s="32"/>
      <c r="C3" s="37">
        <f>Assumptions!D6*Assumptions!D7</f>
        <v>198380</v>
      </c>
      <c r="D3" s="37">
        <f>Assumptions!E6*Assumptions!E7</f>
        <v>208299</v>
      </c>
      <c r="E3" s="37">
        <f>Assumptions!F6*Assumptions!F7</f>
        <v>223177.5</v>
      </c>
      <c r="F3" s="37">
        <f>Assumptions!G6*Assumptions!G7</f>
        <v>235576.25</v>
      </c>
      <c r="G3" s="37">
        <f>Assumptions!H6*Assumptions!H7</f>
        <v>247975</v>
      </c>
    </row>
    <row r="4" spans="1:7" x14ac:dyDescent="0.35">
      <c r="A4" t="s">
        <v>11</v>
      </c>
      <c r="B4" s="32"/>
      <c r="C4" s="37">
        <f>-Assumptions!D9*'Income statement'!C3</f>
        <v>-85303.4</v>
      </c>
      <c r="D4" s="37">
        <f>-Assumptions!E9*'Income statement'!D3</f>
        <v>-89568.569999999992</v>
      </c>
      <c r="E4" s="37">
        <f>-Assumptions!F9*'Income statement'!E3</f>
        <v>-89271</v>
      </c>
      <c r="F4" s="37">
        <f>-Assumptions!G9*'Income statement'!F3</f>
        <v>-89518.975000000006</v>
      </c>
      <c r="G4" s="37">
        <f>-Assumptions!H9*'Income statement'!G3</f>
        <v>-94230.5</v>
      </c>
    </row>
    <row r="5" spans="1:7" x14ac:dyDescent="0.35">
      <c r="A5" s="3" t="s">
        <v>14</v>
      </c>
      <c r="B5" s="33"/>
      <c r="C5" s="38">
        <f>SUM(C3:C4)</f>
        <v>113076.6</v>
      </c>
      <c r="D5" s="38">
        <f t="shared" ref="D5:G5" si="0">SUM(D3:D4)</f>
        <v>118730.43000000001</v>
      </c>
      <c r="E5" s="38">
        <f t="shared" si="0"/>
        <v>133906.5</v>
      </c>
      <c r="F5" s="38">
        <f t="shared" si="0"/>
        <v>146057.27499999999</v>
      </c>
      <c r="G5" s="38">
        <f t="shared" si="0"/>
        <v>153744.5</v>
      </c>
    </row>
    <row r="6" spans="1:7" x14ac:dyDescent="0.35">
      <c r="A6" t="s">
        <v>12</v>
      </c>
      <c r="B6" s="32"/>
      <c r="C6" s="37">
        <f>-C3*Assumptions!D10</f>
        <v>-69433</v>
      </c>
      <c r="D6" s="37">
        <f>-D3*Assumptions!E10</f>
        <v>-72904.649999999994</v>
      </c>
      <c r="E6" s="37">
        <f>-E3*Assumptions!F10</f>
        <v>-78112.125</v>
      </c>
      <c r="F6" s="37">
        <f>-F3*Assumptions!G10</f>
        <v>-82451.6875</v>
      </c>
      <c r="G6" s="37">
        <f>-G3*Assumptions!H10</f>
        <v>-86791.25</v>
      </c>
    </row>
    <row r="7" spans="1:7" x14ac:dyDescent="0.35">
      <c r="A7" t="s">
        <v>15</v>
      </c>
      <c r="B7" s="34"/>
      <c r="C7" s="39">
        <f>-Assumptions!D43</f>
        <v>-6399</v>
      </c>
      <c r="D7" s="39">
        <f>-Assumptions!E43</f>
        <v>-7599</v>
      </c>
      <c r="E7" s="39">
        <f>-Assumptions!F43</f>
        <v>-8599</v>
      </c>
      <c r="F7" s="39">
        <f>-Assumptions!G43</f>
        <v>-9349</v>
      </c>
      <c r="G7" s="39">
        <f>-Assumptions!H43</f>
        <v>-10099</v>
      </c>
    </row>
    <row r="8" spans="1:7" x14ac:dyDescent="0.35">
      <c r="A8" s="3" t="s">
        <v>16</v>
      </c>
      <c r="B8" s="33"/>
      <c r="C8" s="38">
        <f>SUM(C5:C7)</f>
        <v>37244.600000000006</v>
      </c>
      <c r="D8" s="38">
        <f>SUM(D5:D7)</f>
        <v>38226.780000000013</v>
      </c>
      <c r="E8" s="38">
        <f>SUM(E5:E7)</f>
        <v>47195.375</v>
      </c>
      <c r="F8" s="38">
        <f t="shared" ref="F8" si="1">SUM(F5:F7)</f>
        <v>54256.587499999994</v>
      </c>
      <c r="G8" s="38">
        <f>SUM(G5:G7)</f>
        <v>56854.25</v>
      </c>
    </row>
    <row r="9" spans="1:7" x14ac:dyDescent="0.35">
      <c r="A9" t="s">
        <v>54</v>
      </c>
      <c r="B9" s="34"/>
      <c r="C9" s="39">
        <f ca="1">-revolver!C18</f>
        <v>-2800.0000000000005</v>
      </c>
      <c r="D9" s="39">
        <f ca="1">-revolver!D18</f>
        <v>-2800.0000000000005</v>
      </c>
      <c r="E9" s="39">
        <f ca="1">-revolver!E18</f>
        <v>-2800.0000000000005</v>
      </c>
      <c r="F9" s="39">
        <f ca="1">-revolver!F18</f>
        <v>-2800.0000000000005</v>
      </c>
      <c r="G9" s="39">
        <f ca="1">-revolver!G18</f>
        <v>-2800.0000000000005</v>
      </c>
    </row>
    <row r="10" spans="1:7" x14ac:dyDescent="0.35">
      <c r="A10" s="3" t="s">
        <v>18</v>
      </c>
      <c r="B10" s="33"/>
      <c r="C10" s="38">
        <f ca="1">SUM(C8:C9)</f>
        <v>34444.600000000006</v>
      </c>
      <c r="D10" s="38">
        <f t="shared" ref="D10:G10" ca="1" si="2">SUM(D8:D9)</f>
        <v>35426.780000000013</v>
      </c>
      <c r="E10" s="38">
        <f t="shared" ca="1" si="2"/>
        <v>44395.375</v>
      </c>
      <c r="F10" s="38">
        <f t="shared" ca="1" si="2"/>
        <v>51456.587499999994</v>
      </c>
      <c r="G10" s="38">
        <f t="shared" ca="1" si="2"/>
        <v>54054.25</v>
      </c>
    </row>
    <row r="11" spans="1:7" x14ac:dyDescent="0.35">
      <c r="A11" t="s">
        <v>19</v>
      </c>
      <c r="B11" s="32"/>
      <c r="C11" s="37">
        <f ca="1">-IF(C10&gt;0,C10*21%,0)</f>
        <v>-7233.3660000000009</v>
      </c>
      <c r="D11" s="37">
        <f t="shared" ref="D11:G11" ca="1" si="3">-IF(D10&gt;0,D10*21%,0)</f>
        <v>-7439.6238000000021</v>
      </c>
      <c r="E11" s="37">
        <f t="shared" ca="1" si="3"/>
        <v>-9323.0287499999995</v>
      </c>
      <c r="F11" s="37">
        <f t="shared" ca="1" si="3"/>
        <v>-10805.883374999998</v>
      </c>
      <c r="G11" s="37">
        <f t="shared" ca="1" si="3"/>
        <v>-11351.3925</v>
      </c>
    </row>
    <row r="12" spans="1:7" x14ac:dyDescent="0.35">
      <c r="A12" s="4" t="s">
        <v>20</v>
      </c>
      <c r="B12" s="35"/>
      <c r="C12" s="30">
        <f ca="1">SUM(C10:C11)</f>
        <v>27211.234000000004</v>
      </c>
      <c r="D12" s="30">
        <f t="shared" ref="D12:G12" ca="1" si="4">SUM(D10:D11)</f>
        <v>27987.156200000012</v>
      </c>
      <c r="E12" s="30">
        <f t="shared" ca="1" si="4"/>
        <v>35072.346250000002</v>
      </c>
      <c r="F12" s="30">
        <f t="shared" ca="1" si="4"/>
        <v>40650.704124999997</v>
      </c>
      <c r="G12" s="30">
        <f t="shared" ca="1" si="4"/>
        <v>42702.857499999998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>
      <selection activeCell="E8" sqref="E8"/>
    </sheetView>
  </sheetViews>
  <sheetFormatPr defaultRowHeight="15.5" x14ac:dyDescent="0.35"/>
  <cols>
    <col min="1" max="1" width="28.6640625" bestFit="1" customWidth="1"/>
    <col min="2" max="2" width="9.58203125" bestFit="1" customWidth="1"/>
    <col min="3" max="6" width="8.9140625" bestFit="1" customWidth="1"/>
    <col min="7" max="7" width="9.58203125" bestFit="1" customWidth="1"/>
  </cols>
  <sheetData>
    <row r="1" spans="1:8" x14ac:dyDescent="0.35">
      <c r="A1" s="5" t="s">
        <v>1</v>
      </c>
      <c r="B1" s="5"/>
      <c r="C1" s="5"/>
      <c r="D1" s="5"/>
      <c r="E1" s="5"/>
      <c r="F1" s="5"/>
      <c r="G1" s="5"/>
    </row>
    <row r="2" spans="1:8" x14ac:dyDescent="0.35">
      <c r="A2" s="2" t="s">
        <v>79</v>
      </c>
      <c r="B2" s="6">
        <v>2023</v>
      </c>
      <c r="C2" s="7">
        <f>B2+1</f>
        <v>2024</v>
      </c>
      <c r="D2" s="7">
        <f>C2+1</f>
        <v>2025</v>
      </c>
      <c r="E2" s="7">
        <f>D2+1</f>
        <v>2026</v>
      </c>
      <c r="F2" s="7">
        <f>E2+1</f>
        <v>2027</v>
      </c>
      <c r="G2" s="7">
        <f>F2+1</f>
        <v>2028</v>
      </c>
    </row>
    <row r="3" spans="1:8" x14ac:dyDescent="0.35">
      <c r="A3" t="s">
        <v>21</v>
      </c>
      <c r="B3" s="13">
        <v>14589</v>
      </c>
      <c r="C3">
        <f ca="1">'cashflow statement'!C20</f>
        <v>21534.405428426988</v>
      </c>
      <c r="D3">
        <f ca="1">'cashflow statement'!D20</f>
        <v>32358.520199848354</v>
      </c>
      <c r="E3">
        <f ca="1">'cashflow statement'!E20</f>
        <v>50080.897089531209</v>
      </c>
      <c r="F3">
        <f ca="1">'cashflow statement'!F20</f>
        <v>71830.97172667057</v>
      </c>
      <c r="G3">
        <f ca="1">'cashflow statement'!G20</f>
        <v>91753.804550442699</v>
      </c>
    </row>
    <row r="4" spans="1:8" x14ac:dyDescent="0.35">
      <c r="A4" t="s">
        <v>22</v>
      </c>
      <c r="B4" s="13">
        <v>9877</v>
      </c>
      <c r="C4" s="10">
        <f>Assumptions!D14*Assumptions!D18</f>
        <v>12323.498304999466</v>
      </c>
      <c r="D4" s="10">
        <f>Assumptions!E14*Assumptions!E18</f>
        <v>12939.673220249439</v>
      </c>
      <c r="E4" s="10">
        <f>Assumptions!F14*Assumptions!F18</f>
        <v>13863.935593124399</v>
      </c>
      <c r="F4" s="10">
        <f>Assumptions!G14*Assumptions!G18</f>
        <v>14634.154237186865</v>
      </c>
      <c r="G4" s="10">
        <f>Assumptions!H14*Assumptions!H18</f>
        <v>15404.372881249332</v>
      </c>
    </row>
    <row r="5" spans="1:8" x14ac:dyDescent="0.35">
      <c r="A5" t="s">
        <v>4</v>
      </c>
      <c r="B5" s="13">
        <v>8579</v>
      </c>
      <c r="C5" s="10">
        <f>Assumptions!D19*Assumptions!D15</f>
        <v>9643.2667264030351</v>
      </c>
      <c r="D5" s="10">
        <f>Assumptions!E19*Assumptions!E15</f>
        <v>10125.430062723188</v>
      </c>
      <c r="E5" s="10">
        <f>Assumptions!F19*Assumptions!F15</f>
        <v>10091.790760189224</v>
      </c>
      <c r="F5" s="10">
        <f>Assumptions!G19*Assumptions!G15</f>
        <v>10119.823512300862</v>
      </c>
      <c r="G5" s="10">
        <f>Assumptions!H19*Assumptions!H15</f>
        <v>10652.445802421958</v>
      </c>
    </row>
    <row r="6" spans="1:8" x14ac:dyDescent="0.35">
      <c r="A6" s="3" t="s">
        <v>23</v>
      </c>
      <c r="B6" s="11">
        <f>SUM(B3:B5)</f>
        <v>33045</v>
      </c>
      <c r="C6" s="11">
        <f ca="1">SUM(C3:C5)</f>
        <v>43501.170459829489</v>
      </c>
      <c r="D6" s="11">
        <f t="shared" ref="D6:G6" ca="1" si="0">SUM(D3:D5)</f>
        <v>55423.623482820978</v>
      </c>
      <c r="E6" s="11">
        <f t="shared" ca="1" si="0"/>
        <v>74036.623442844837</v>
      </c>
      <c r="F6" s="11">
        <f t="shared" ca="1" si="0"/>
        <v>96584.949476158305</v>
      </c>
      <c r="G6" s="11">
        <f t="shared" ca="1" si="0"/>
        <v>117810.623234114</v>
      </c>
    </row>
    <row r="7" spans="1:8" x14ac:dyDescent="0.35">
      <c r="A7" t="s">
        <v>24</v>
      </c>
      <c r="B7" s="13">
        <v>48990</v>
      </c>
      <c r="C7" s="10">
        <f>Assumptions!D48</f>
        <v>57591</v>
      </c>
      <c r="D7" s="10">
        <f>Assumptions!E48</f>
        <v>61992</v>
      </c>
      <c r="E7" s="10">
        <f>Assumptions!F48</f>
        <v>63393</v>
      </c>
      <c r="F7" s="10">
        <f>Assumptions!G48</f>
        <v>61544</v>
      </c>
      <c r="G7" s="10">
        <f>Assumptions!H48</f>
        <v>58945</v>
      </c>
    </row>
    <row r="8" spans="1:8" x14ac:dyDescent="0.35">
      <c r="A8" s="4" t="s">
        <v>25</v>
      </c>
      <c r="B8" s="12">
        <f>SUM(B6:B7)</f>
        <v>82035</v>
      </c>
      <c r="C8" s="12">
        <f ca="1">SUM(C6:C7)</f>
        <v>101092.17045982949</v>
      </c>
      <c r="D8" s="12">
        <f t="shared" ref="D8:G8" ca="1" si="1">SUM(D6:D7)</f>
        <v>117415.62348282099</v>
      </c>
      <c r="E8" s="12">
        <f t="shared" ca="1" si="1"/>
        <v>137429.62344284484</v>
      </c>
      <c r="F8" s="12">
        <f t="shared" ca="1" si="1"/>
        <v>158128.9494761583</v>
      </c>
      <c r="G8" s="12">
        <f t="shared" ca="1" si="1"/>
        <v>176755.623234114</v>
      </c>
    </row>
    <row r="10" spans="1:8" x14ac:dyDescent="0.35">
      <c r="A10" t="s">
        <v>26</v>
      </c>
      <c r="B10" s="13">
        <v>14880</v>
      </c>
      <c r="C10" s="10">
        <f>Assumptions!D15*Assumptions!D20</f>
        <v>16725.936459829485</v>
      </c>
      <c r="D10" s="10">
        <f>Assumptions!E15*Assumptions!E20</f>
        <v>17562.233282820962</v>
      </c>
      <c r="E10" s="10">
        <f>Assumptions!F15*Assumptions!F20</f>
        <v>17503.886992844811</v>
      </c>
      <c r="F10" s="10">
        <f>Assumptions!G15*Assumptions!G20</f>
        <v>17552.508901158271</v>
      </c>
      <c r="G10" s="10">
        <f>Assumptions!H15*Assumptions!H20</f>
        <v>18476.325159113971</v>
      </c>
    </row>
    <row r="11" spans="1:8" x14ac:dyDescent="0.35">
      <c r="A11" t="s">
        <v>27</v>
      </c>
      <c r="B11" s="10">
        <v>0</v>
      </c>
      <c r="C11" s="10">
        <f ca="1">revolver!C13</f>
        <v>0</v>
      </c>
      <c r="D11" s="10">
        <f ca="1">revolver!D13</f>
        <v>0</v>
      </c>
      <c r="E11" s="10">
        <f ca="1">revolver!E13</f>
        <v>0</v>
      </c>
      <c r="F11" s="10">
        <f ca="1">revolver!F13</f>
        <v>0</v>
      </c>
      <c r="G11" s="10">
        <f ca="1">revolver!G13</f>
        <v>0</v>
      </c>
    </row>
    <row r="12" spans="1:8" x14ac:dyDescent="0.35">
      <c r="A12" s="3" t="s">
        <v>28</v>
      </c>
      <c r="B12" s="11">
        <f>SUM(B10:B11)</f>
        <v>14880</v>
      </c>
      <c r="C12" s="11">
        <f t="shared" ref="C12:G12" ca="1" si="2">SUM(C10:C11)</f>
        <v>16725.936459829485</v>
      </c>
      <c r="D12" s="11">
        <f t="shared" ca="1" si="2"/>
        <v>17562.233282820962</v>
      </c>
      <c r="E12" s="11">
        <f t="shared" ca="1" si="2"/>
        <v>17503.886992844811</v>
      </c>
      <c r="F12" s="11">
        <f t="shared" ca="1" si="2"/>
        <v>17552.508901158271</v>
      </c>
      <c r="G12" s="11">
        <f t="shared" ca="1" si="2"/>
        <v>18476.325159113971</v>
      </c>
    </row>
    <row r="14" spans="1:8" x14ac:dyDescent="0.35">
      <c r="A14" t="s">
        <v>29</v>
      </c>
      <c r="B14" s="13">
        <v>40000</v>
      </c>
      <c r="C14" s="13">
        <v>40000</v>
      </c>
      <c r="D14" s="13">
        <v>40000</v>
      </c>
      <c r="E14" s="13">
        <v>40000</v>
      </c>
      <c r="F14" s="13">
        <v>40000</v>
      </c>
      <c r="G14" s="13">
        <v>40000</v>
      </c>
      <c r="H14" s="13"/>
    </row>
    <row r="15" spans="1:8" x14ac:dyDescent="0.35">
      <c r="A15" s="8" t="s">
        <v>30</v>
      </c>
      <c r="B15" s="14">
        <f>SUM(B12,B14)</f>
        <v>54880</v>
      </c>
      <c r="C15" s="14">
        <f t="shared" ref="C15:G15" ca="1" si="3">SUM(C12,C14)</f>
        <v>56725.936459829485</v>
      </c>
      <c r="D15" s="14">
        <f t="shared" ca="1" si="3"/>
        <v>57562.233282820962</v>
      </c>
      <c r="E15" s="14">
        <f t="shared" ca="1" si="3"/>
        <v>57503.886992844811</v>
      </c>
      <c r="F15" s="14">
        <f t="shared" ca="1" si="3"/>
        <v>57552.508901158275</v>
      </c>
      <c r="G15" s="14">
        <f t="shared" ca="1" si="3"/>
        <v>58476.325159113971</v>
      </c>
    </row>
    <row r="17" spans="1:8" x14ac:dyDescent="0.35">
      <c r="A17" t="s">
        <v>31</v>
      </c>
      <c r="B17" s="13">
        <v>25000</v>
      </c>
      <c r="C17" s="13">
        <v>25000</v>
      </c>
      <c r="D17" s="13">
        <v>25000</v>
      </c>
      <c r="E17" s="13">
        <v>25000</v>
      </c>
      <c r="F17" s="13">
        <v>25000</v>
      </c>
      <c r="G17" s="13">
        <v>25000</v>
      </c>
    </row>
    <row r="18" spans="1:8" x14ac:dyDescent="0.35">
      <c r="A18" t="s">
        <v>10</v>
      </c>
      <c r="B18" s="13">
        <f>24155-22000</f>
        <v>2155</v>
      </c>
      <c r="C18" s="10">
        <f ca="1">Assumptions!D54</f>
        <v>19366.234000000004</v>
      </c>
      <c r="D18" s="10">
        <f ca="1">Assumptions!E54</f>
        <v>34853.390200000016</v>
      </c>
      <c r="E18" s="10">
        <f ca="1">Assumptions!F54</f>
        <v>54925.736450000026</v>
      </c>
      <c r="F18" s="10">
        <f ca="1">Assumptions!G54</f>
        <v>75576.440575000015</v>
      </c>
      <c r="G18" s="10">
        <f ca="1">Assumptions!H54</f>
        <v>93279.298075000013</v>
      </c>
    </row>
    <row r="19" spans="1:8" x14ac:dyDescent="0.35">
      <c r="A19" s="8" t="s">
        <v>32</v>
      </c>
      <c r="B19" s="14">
        <f>SUM(B17:B18)</f>
        <v>27155</v>
      </c>
      <c r="C19" s="14">
        <f t="shared" ref="C19:G19" ca="1" si="4">SUM(C17:C18)</f>
        <v>44366.234000000004</v>
      </c>
      <c r="D19" s="14">
        <f t="shared" ca="1" si="4"/>
        <v>59853.390200000016</v>
      </c>
      <c r="E19" s="14">
        <f t="shared" ca="1" si="4"/>
        <v>79925.736450000026</v>
      </c>
      <c r="F19" s="14">
        <f t="shared" ca="1" si="4"/>
        <v>100576.44057500002</v>
      </c>
      <c r="G19" s="14">
        <f t="shared" ca="1" si="4"/>
        <v>118279.29807500001</v>
      </c>
      <c r="H19" t="s">
        <v>81</v>
      </c>
    </row>
    <row r="21" spans="1:8" x14ac:dyDescent="0.35">
      <c r="A21" s="4" t="s">
        <v>33</v>
      </c>
      <c r="B21" s="12">
        <f>SUM(B15,B19)</f>
        <v>82035</v>
      </c>
      <c r="C21" s="12">
        <f t="shared" ref="C21:G21" ca="1" si="5">SUM(C15,C19)</f>
        <v>101092.17045982949</v>
      </c>
      <c r="D21" s="12">
        <f t="shared" ca="1" si="5"/>
        <v>117415.62348282099</v>
      </c>
      <c r="E21" s="12">
        <f t="shared" ca="1" si="5"/>
        <v>137429.62344284484</v>
      </c>
      <c r="F21" s="12">
        <f t="shared" ca="1" si="5"/>
        <v>158128.9494761583</v>
      </c>
      <c r="G21" s="12">
        <f t="shared" ca="1" si="5"/>
        <v>176755.62323411397</v>
      </c>
    </row>
    <row r="23" spans="1:8" x14ac:dyDescent="0.35">
      <c r="A23" s="23" t="s">
        <v>34</v>
      </c>
      <c r="B23" s="24">
        <f>B21-B8</f>
        <v>0</v>
      </c>
      <c r="C23" s="24">
        <f t="shared" ref="C23:G23" ca="1" si="6">C21-C8</f>
        <v>0</v>
      </c>
      <c r="D23" s="24">
        <f t="shared" ca="1" si="6"/>
        <v>0</v>
      </c>
      <c r="E23" s="24">
        <f t="shared" ca="1" si="6"/>
        <v>0</v>
      </c>
      <c r="F23" s="24">
        <f t="shared" ca="1" si="6"/>
        <v>0</v>
      </c>
      <c r="G23" s="24">
        <f t="shared" ca="1" si="6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workbookViewId="0">
      <selection activeCell="C1" sqref="C1"/>
    </sheetView>
  </sheetViews>
  <sheetFormatPr defaultRowHeight="15.5" x14ac:dyDescent="0.35"/>
  <cols>
    <col min="1" max="1" width="31" bestFit="1" customWidth="1"/>
    <col min="2" max="2" width="8.33203125" customWidth="1"/>
  </cols>
  <sheetData>
    <row r="1" spans="1:7" x14ac:dyDescent="0.35">
      <c r="A1" s="5" t="s">
        <v>2</v>
      </c>
      <c r="B1" s="5"/>
      <c r="C1" s="5"/>
      <c r="D1" s="5"/>
      <c r="E1" s="5"/>
      <c r="F1" s="5"/>
      <c r="G1" s="5"/>
    </row>
    <row r="2" spans="1:7" x14ac:dyDescent="0.35">
      <c r="A2" t="s">
        <v>20</v>
      </c>
      <c r="C2" s="10">
        <f ca="1">'Income statement'!C12</f>
        <v>27211.234000000004</v>
      </c>
      <c r="D2" s="10">
        <f ca="1">'Income statement'!D12</f>
        <v>27987.156200000012</v>
      </c>
      <c r="E2" s="10">
        <f ca="1">'Income statement'!E12</f>
        <v>35072.346250000002</v>
      </c>
      <c r="F2" s="10">
        <f ca="1">'Income statement'!F12</f>
        <v>40650.704124999997</v>
      </c>
      <c r="G2" s="10">
        <f ca="1">'Income statement'!G12</f>
        <v>42702.857499999998</v>
      </c>
    </row>
    <row r="3" spans="1:7" x14ac:dyDescent="0.35">
      <c r="A3" t="s">
        <v>15</v>
      </c>
      <c r="C3" s="10">
        <f>-'Income statement'!C7</f>
        <v>6399</v>
      </c>
      <c r="D3" s="10">
        <f>-'Income statement'!D7</f>
        <v>7599</v>
      </c>
      <c r="E3" s="10">
        <f>-'Income statement'!E7</f>
        <v>8599</v>
      </c>
      <c r="F3" s="10">
        <f>-'Income statement'!F7</f>
        <v>9349</v>
      </c>
      <c r="G3" s="10">
        <f>-'Income statement'!G7</f>
        <v>10099</v>
      </c>
    </row>
    <row r="4" spans="1:7" x14ac:dyDescent="0.35">
      <c r="A4" t="s">
        <v>35</v>
      </c>
      <c r="C4">
        <f>('balance sheet'!B4-'balance sheet'!C4)</f>
        <v>-2446.4983049994662</v>
      </c>
      <c r="D4">
        <f>('balance sheet'!C4-'balance sheet'!D4)</f>
        <v>-616.1749152499724</v>
      </c>
      <c r="E4">
        <f>('balance sheet'!D4-'balance sheet'!E4)</f>
        <v>-924.26237287496042</v>
      </c>
      <c r="F4">
        <f>('balance sheet'!E4-'balance sheet'!F4)</f>
        <v>-770.21864406246641</v>
      </c>
      <c r="G4">
        <f>('balance sheet'!F4-'balance sheet'!G4)</f>
        <v>-770.21864406246641</v>
      </c>
    </row>
    <row r="5" spans="1:7" x14ac:dyDescent="0.35">
      <c r="A5" t="s">
        <v>36</v>
      </c>
      <c r="C5">
        <f>'balance sheet'!B5-'balance sheet'!C5</f>
        <v>-1064.2667264030351</v>
      </c>
      <c r="D5">
        <f>'balance sheet'!C5-'balance sheet'!D5</f>
        <v>-482.16333632015267</v>
      </c>
      <c r="E5">
        <f>'balance sheet'!D5-'balance sheet'!E5</f>
        <v>33.639302533963928</v>
      </c>
      <c r="F5">
        <f>'balance sheet'!E5-'balance sheet'!F5</f>
        <v>-28.032752111637819</v>
      </c>
      <c r="G5">
        <f>'balance sheet'!F5-'balance sheet'!G5</f>
        <v>-532.62229012109674</v>
      </c>
    </row>
    <row r="6" spans="1:7" x14ac:dyDescent="0.35">
      <c r="A6" t="s">
        <v>37</v>
      </c>
      <c r="C6">
        <f>'balance sheet'!C10-'balance sheet'!B10</f>
        <v>1845.9364598294851</v>
      </c>
      <c r="D6">
        <f>'balance sheet'!D10-'balance sheet'!C10</f>
        <v>836.2968229914768</v>
      </c>
      <c r="E6">
        <f>'balance sheet'!E10-'balance sheet'!D10</f>
        <v>-58.346289976150729</v>
      </c>
      <c r="F6">
        <f>'balance sheet'!F10-'balance sheet'!E10</f>
        <v>48.621908313460153</v>
      </c>
      <c r="G6">
        <f>'balance sheet'!G10-'balance sheet'!F10</f>
        <v>923.81625795569926</v>
      </c>
    </row>
    <row r="7" spans="1:7" x14ac:dyDescent="0.35">
      <c r="A7" s="8" t="s">
        <v>5</v>
      </c>
      <c r="B7" s="8"/>
      <c r="C7" s="14">
        <f ca="1">SUM(C2:C6)</f>
        <v>31945.405428426988</v>
      </c>
      <c r="D7" s="14">
        <f t="shared" ref="D7:G7" ca="1" si="0">SUM(D2:D6)</f>
        <v>35324.114771421366</v>
      </c>
      <c r="E7" s="14">
        <f t="shared" ca="1" si="0"/>
        <v>42722.376889682855</v>
      </c>
      <c r="F7" s="14">
        <f t="shared" ca="1" si="0"/>
        <v>49250.074637139362</v>
      </c>
      <c r="G7" s="14">
        <f t="shared" ca="1" si="0"/>
        <v>52422.832823772129</v>
      </c>
    </row>
    <row r="9" spans="1:7" x14ac:dyDescent="0.35">
      <c r="A9" t="s">
        <v>38</v>
      </c>
      <c r="C9">
        <f>Assumptions!C35</f>
        <v>15000</v>
      </c>
      <c r="D9">
        <f>Assumptions!C36</f>
        <v>12000</v>
      </c>
      <c r="E9">
        <f>Assumptions!C37</f>
        <v>10000</v>
      </c>
      <c r="F9">
        <f>Assumptions!C38</f>
        <v>7500</v>
      </c>
      <c r="G9">
        <f>Assumptions!C39</f>
        <v>7500</v>
      </c>
    </row>
    <row r="10" spans="1:7" x14ac:dyDescent="0.35">
      <c r="A10" s="8" t="s">
        <v>6</v>
      </c>
      <c r="B10" s="8"/>
      <c r="C10" s="14">
        <f>-C9</f>
        <v>-15000</v>
      </c>
      <c r="D10" s="14">
        <f t="shared" ref="D10:G10" si="1">-D9</f>
        <v>-12000</v>
      </c>
      <c r="E10" s="14">
        <f t="shared" si="1"/>
        <v>-10000</v>
      </c>
      <c r="F10" s="14">
        <f t="shared" si="1"/>
        <v>-7500</v>
      </c>
      <c r="G10" s="14">
        <f t="shared" si="1"/>
        <v>-7500</v>
      </c>
    </row>
    <row r="12" spans="1:7" x14ac:dyDescent="0.35">
      <c r="A12" t="s">
        <v>39</v>
      </c>
      <c r="C12">
        <f>'balance sheet'!C14-'balance sheet'!B14</f>
        <v>0</v>
      </c>
      <c r="D12">
        <f>'balance sheet'!D14-'balance sheet'!C14</f>
        <v>0</v>
      </c>
      <c r="E12">
        <f>'balance sheet'!E14-'balance sheet'!D14</f>
        <v>0</v>
      </c>
      <c r="F12">
        <f>'balance sheet'!F14-'balance sheet'!E14</f>
        <v>0</v>
      </c>
      <c r="G12">
        <f>'balance sheet'!G14-'balance sheet'!F14</f>
        <v>0</v>
      </c>
    </row>
    <row r="13" spans="1:7" x14ac:dyDescent="0.35">
      <c r="A13" t="s">
        <v>40</v>
      </c>
      <c r="C13">
        <f ca="1">'balance sheet'!C11-'balance sheet'!B11</f>
        <v>0</v>
      </c>
      <c r="D13">
        <f ca="1">'balance sheet'!C11</f>
        <v>0</v>
      </c>
      <c r="E13">
        <f ca="1">'balance sheet'!D11</f>
        <v>0</v>
      </c>
      <c r="F13">
        <f ca="1">'balance sheet'!E11</f>
        <v>0</v>
      </c>
      <c r="G13">
        <f ca="1">'balance sheet'!F11</f>
        <v>0</v>
      </c>
    </row>
    <row r="14" spans="1:7" x14ac:dyDescent="0.35">
      <c r="A14" t="s">
        <v>41</v>
      </c>
      <c r="C14">
        <f>'balance sheet'!C17-'balance sheet'!B17</f>
        <v>0</v>
      </c>
      <c r="D14">
        <f>'balance sheet'!D17-'balance sheet'!C17</f>
        <v>0</v>
      </c>
      <c r="E14">
        <f>'balance sheet'!E17-'balance sheet'!D17</f>
        <v>0</v>
      </c>
      <c r="F14">
        <f>'balance sheet'!F17-'balance sheet'!E17</f>
        <v>0</v>
      </c>
      <c r="G14">
        <f>'balance sheet'!G17-'balance sheet'!F17</f>
        <v>0</v>
      </c>
    </row>
    <row r="15" spans="1:7" x14ac:dyDescent="0.35">
      <c r="A15" t="s">
        <v>42</v>
      </c>
      <c r="C15">
        <f>Assumptions!D53</f>
        <v>-10000</v>
      </c>
      <c r="D15">
        <f>Assumptions!E53</f>
        <v>-12500</v>
      </c>
      <c r="E15">
        <f>Assumptions!F53</f>
        <v>-15000</v>
      </c>
      <c r="F15">
        <f>Assumptions!G53</f>
        <v>-20000</v>
      </c>
      <c r="G15">
        <f>Assumptions!H53</f>
        <v>-25000</v>
      </c>
    </row>
    <row r="16" spans="1:7" x14ac:dyDescent="0.35">
      <c r="A16" s="8" t="s">
        <v>7</v>
      </c>
      <c r="B16" s="8"/>
      <c r="C16" s="8">
        <f ca="1">SUM(C12:C15)</f>
        <v>-10000</v>
      </c>
      <c r="D16" s="8">
        <f t="shared" ref="D16:G16" ca="1" si="2">SUM(D12:D15)</f>
        <v>-12500</v>
      </c>
      <c r="E16" s="8">
        <f t="shared" ca="1" si="2"/>
        <v>-15000</v>
      </c>
      <c r="F16" s="8">
        <f t="shared" ca="1" si="2"/>
        <v>-20000</v>
      </c>
      <c r="G16" s="8">
        <f t="shared" ca="1" si="2"/>
        <v>-25000</v>
      </c>
    </row>
    <row r="18" spans="1:8" x14ac:dyDescent="0.35">
      <c r="A18" t="s">
        <v>50</v>
      </c>
      <c r="C18">
        <f>'balance sheet'!B3</f>
        <v>14589</v>
      </c>
      <c r="D18">
        <f ca="1">'balance sheet'!C3</f>
        <v>21534.405428426988</v>
      </c>
      <c r="E18">
        <f ca="1">'balance sheet'!D3</f>
        <v>32358.520199848354</v>
      </c>
      <c r="F18">
        <f ca="1">'balance sheet'!E3</f>
        <v>50080.897089531209</v>
      </c>
      <c r="G18">
        <f ca="1">'balance sheet'!F3</f>
        <v>71830.97172667057</v>
      </c>
    </row>
    <row r="19" spans="1:8" x14ac:dyDescent="0.35">
      <c r="A19" s="4" t="s">
        <v>9</v>
      </c>
      <c r="B19" s="4"/>
      <c r="C19" s="12">
        <f ca="1">SUM(C7,C10,C16)</f>
        <v>6945.4054284269878</v>
      </c>
      <c r="D19" s="12">
        <f ca="1">D7+D10+D16</f>
        <v>10824.114771421366</v>
      </c>
      <c r="E19" s="12">
        <f t="shared" ref="E19:G19" ca="1" si="3">E7+E10+E16</f>
        <v>17722.376889682855</v>
      </c>
      <c r="F19" s="12">
        <f t="shared" ca="1" si="3"/>
        <v>21750.074637139362</v>
      </c>
      <c r="G19" s="12">
        <f t="shared" ca="1" si="3"/>
        <v>19922.832823772129</v>
      </c>
    </row>
    <row r="20" spans="1:8" x14ac:dyDescent="0.35">
      <c r="A20" t="s">
        <v>49</v>
      </c>
      <c r="C20">
        <f ca="1">SUM(C18:C19)</f>
        <v>21534.405428426988</v>
      </c>
      <c r="D20">
        <f t="shared" ref="D20:G20" ca="1" si="4">SUM(D18:D19)</f>
        <v>32358.520199848354</v>
      </c>
      <c r="E20">
        <f t="shared" ca="1" si="4"/>
        <v>50080.897089531209</v>
      </c>
      <c r="F20">
        <f t="shared" ca="1" si="4"/>
        <v>71830.97172667057</v>
      </c>
      <c r="G20">
        <f t="shared" ca="1" si="4"/>
        <v>91753.804550442699</v>
      </c>
    </row>
    <row r="21" spans="1:8" x14ac:dyDescent="0.35">
      <c r="H21" t="s">
        <v>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>
      <selection activeCell="C18" sqref="C18:G18"/>
    </sheetView>
  </sheetViews>
  <sheetFormatPr defaultRowHeight="15.5" x14ac:dyDescent="0.35"/>
  <cols>
    <col min="1" max="1" width="23.83203125" bestFit="1" customWidth="1"/>
    <col min="2" max="2" width="2.9140625" customWidth="1"/>
  </cols>
  <sheetData>
    <row r="1" spans="1:9" x14ac:dyDescent="0.35">
      <c r="A1" s="5" t="s">
        <v>27</v>
      </c>
      <c r="B1" s="5"/>
      <c r="C1" s="5"/>
      <c r="D1" s="5"/>
      <c r="E1" s="5"/>
      <c r="F1" s="5"/>
      <c r="G1" s="5"/>
    </row>
    <row r="2" spans="1:9" x14ac:dyDescent="0.35">
      <c r="A2" s="26" t="s">
        <v>69</v>
      </c>
      <c r="B2" s="9"/>
      <c r="C2" s="9"/>
      <c r="D2" s="9"/>
      <c r="E2" s="9"/>
      <c r="F2" s="9"/>
      <c r="G2" s="9"/>
    </row>
    <row r="3" spans="1:9" x14ac:dyDescent="0.35">
      <c r="A3" t="s">
        <v>8</v>
      </c>
      <c r="C3" s="10">
        <f>'balance sheet'!B3</f>
        <v>14589</v>
      </c>
      <c r="D3" s="10">
        <f ca="1">'balance sheet'!C3</f>
        <v>21534.405428426988</v>
      </c>
      <c r="E3" s="10">
        <f ca="1">'balance sheet'!D3</f>
        <v>32358.520199848354</v>
      </c>
      <c r="F3" s="10">
        <f ca="1">'balance sheet'!E3</f>
        <v>50080.897089531209</v>
      </c>
      <c r="G3" s="10">
        <f ca="1">'balance sheet'!F3</f>
        <v>71830.97172667057</v>
      </c>
    </row>
    <row r="4" spans="1:9" x14ac:dyDescent="0.35">
      <c r="A4" t="s">
        <v>70</v>
      </c>
      <c r="C4" s="10">
        <f ca="1">'cashflow statement'!C7</f>
        <v>31945.405428426988</v>
      </c>
      <c r="D4" s="10">
        <f ca="1">'cashflow statement'!D7</f>
        <v>35324.114771421366</v>
      </c>
      <c r="E4" s="10">
        <f ca="1">'cashflow statement'!E7</f>
        <v>42722.376889682855</v>
      </c>
      <c r="F4" s="10">
        <f ca="1">'cashflow statement'!F7</f>
        <v>49250.074637139362</v>
      </c>
      <c r="G4" s="10">
        <f ca="1">'cashflow statement'!G7</f>
        <v>52422.832823772129</v>
      </c>
    </row>
    <row r="5" spans="1:9" x14ac:dyDescent="0.35">
      <c r="A5" t="s">
        <v>71</v>
      </c>
      <c r="C5" s="10">
        <f>'cashflow statement'!C10</f>
        <v>-15000</v>
      </c>
      <c r="D5" s="10">
        <f>'cashflow statement'!D10</f>
        <v>-12000</v>
      </c>
      <c r="E5" s="10">
        <f>'cashflow statement'!E10</f>
        <v>-10000</v>
      </c>
      <c r="F5" s="10">
        <f>'cashflow statement'!F10</f>
        <v>-7500</v>
      </c>
      <c r="G5" s="10">
        <f>'cashflow statement'!G10</f>
        <v>-7500</v>
      </c>
    </row>
    <row r="6" spans="1:9" x14ac:dyDescent="0.35">
      <c r="A6" t="s">
        <v>39</v>
      </c>
      <c r="C6" s="10">
        <f>'cashflow statement'!C12</f>
        <v>0</v>
      </c>
      <c r="D6" s="10">
        <f>'cashflow statement'!D12</f>
        <v>0</v>
      </c>
      <c r="E6" s="10">
        <f>'cashflow statement'!E12</f>
        <v>0</v>
      </c>
      <c r="F6" s="10">
        <f>'cashflow statement'!F12</f>
        <v>0</v>
      </c>
      <c r="G6" s="10">
        <f>'cashflow statement'!G12</f>
        <v>0</v>
      </c>
    </row>
    <row r="7" spans="1:9" x14ac:dyDescent="0.35">
      <c r="A7" t="s">
        <v>41</v>
      </c>
      <c r="C7" s="10">
        <f>'cashflow statement'!C14</f>
        <v>0</v>
      </c>
      <c r="D7" s="10">
        <f>'cashflow statement'!D14</f>
        <v>0</v>
      </c>
      <c r="E7" s="10">
        <f>'cashflow statement'!E14</f>
        <v>0</v>
      </c>
      <c r="F7" s="10">
        <f>'cashflow statement'!F14</f>
        <v>0</v>
      </c>
      <c r="G7" s="10">
        <f>'cashflow statement'!G14</f>
        <v>0</v>
      </c>
    </row>
    <row r="8" spans="1:9" x14ac:dyDescent="0.35">
      <c r="A8" t="s">
        <v>42</v>
      </c>
      <c r="C8" s="10">
        <f>'cashflow statement'!C15</f>
        <v>-10000</v>
      </c>
      <c r="D8" s="10">
        <f>'cashflow statement'!D15</f>
        <v>-12500</v>
      </c>
      <c r="E8" s="10">
        <f>'cashflow statement'!E15</f>
        <v>-15000</v>
      </c>
      <c r="F8" s="10">
        <f>'cashflow statement'!F15</f>
        <v>-20000</v>
      </c>
      <c r="G8" s="10">
        <f>'cashflow statement'!G15</f>
        <v>-25000</v>
      </c>
    </row>
    <row r="9" spans="1:9" x14ac:dyDescent="0.35">
      <c r="A9" s="8" t="s">
        <v>72</v>
      </c>
      <c r="B9" s="8"/>
      <c r="C9" s="14">
        <f ca="1">SUM(C3:C8)</f>
        <v>21534.405428426988</v>
      </c>
      <c r="D9" s="14">
        <f t="shared" ref="D9:G9" ca="1" si="0">SUM(D3:D8)</f>
        <v>32358.520199848354</v>
      </c>
      <c r="E9" s="14">
        <f t="shared" ca="1" si="0"/>
        <v>50080.897089531209</v>
      </c>
      <c r="F9" s="14">
        <f t="shared" ca="1" si="0"/>
        <v>71830.97172667057</v>
      </c>
      <c r="G9" s="14">
        <f t="shared" ca="1" si="0"/>
        <v>91753.804550442699</v>
      </c>
    </row>
    <row r="11" spans="1:9" x14ac:dyDescent="0.35">
      <c r="A11" s="26" t="s">
        <v>27</v>
      </c>
      <c r="B11" s="9"/>
      <c r="C11" s="9"/>
      <c r="D11" s="9"/>
      <c r="E11" s="9"/>
      <c r="F11" s="9"/>
      <c r="G11" s="9"/>
    </row>
    <row r="12" spans="1:9" x14ac:dyDescent="0.35">
      <c r="A12" t="s">
        <v>73</v>
      </c>
      <c r="C12" s="10">
        <f>'balance sheet'!B11</f>
        <v>0</v>
      </c>
      <c r="D12" s="10">
        <f ca="1">'balance sheet'!C11</f>
        <v>0</v>
      </c>
      <c r="E12" s="10">
        <f ca="1">'balance sheet'!D11</f>
        <v>0</v>
      </c>
      <c r="F12" s="10">
        <f ca="1">'balance sheet'!E11</f>
        <v>0</v>
      </c>
      <c r="G12" s="10">
        <f ca="1">'balance sheet'!F11</f>
        <v>0</v>
      </c>
    </row>
    <row r="13" spans="1:9" x14ac:dyDescent="0.35">
      <c r="A13" t="s">
        <v>40</v>
      </c>
      <c r="C13" s="10">
        <f ca="1">-MIN(C9,C12)</f>
        <v>0</v>
      </c>
      <c r="D13" s="10">
        <f t="shared" ref="D13:G13" ca="1" si="1">-MIN(D9,D12)</f>
        <v>0</v>
      </c>
      <c r="E13" s="10">
        <f t="shared" ca="1" si="1"/>
        <v>0</v>
      </c>
      <c r="F13" s="10">
        <f t="shared" ca="1" si="1"/>
        <v>0</v>
      </c>
      <c r="G13" s="10">
        <f t="shared" ca="1" si="1"/>
        <v>0</v>
      </c>
      <c r="I13" t="s">
        <v>81</v>
      </c>
    </row>
    <row r="14" spans="1:9" x14ac:dyDescent="0.35">
      <c r="A14" s="8" t="s">
        <v>74</v>
      </c>
      <c r="B14" s="14"/>
      <c r="C14" s="14">
        <f ca="1">SUM(C12:C13)</f>
        <v>0</v>
      </c>
      <c r="D14" s="14">
        <f t="shared" ref="D14:G14" ca="1" si="2">SUM(D12:D13)</f>
        <v>0</v>
      </c>
      <c r="E14" s="14">
        <f t="shared" ca="1" si="2"/>
        <v>0</v>
      </c>
      <c r="F14" s="14">
        <f t="shared" ca="1" si="2"/>
        <v>0</v>
      </c>
      <c r="G14" s="14">
        <f t="shared" ca="1" si="2"/>
        <v>0</v>
      </c>
    </row>
    <row r="16" spans="1:9" x14ac:dyDescent="0.35">
      <c r="A16" t="s">
        <v>80</v>
      </c>
      <c r="C16" s="18">
        <v>0.05</v>
      </c>
      <c r="D16" s="18">
        <v>0.05</v>
      </c>
      <c r="E16" s="18">
        <v>0.05</v>
      </c>
      <c r="F16" s="18">
        <v>0.05</v>
      </c>
      <c r="G16" s="18">
        <v>0.05</v>
      </c>
    </row>
    <row r="17" spans="1:7" x14ac:dyDescent="0.35">
      <c r="A17" t="s">
        <v>17</v>
      </c>
      <c r="C17" s="10">
        <f ca="1">C16*C14</f>
        <v>0</v>
      </c>
      <c r="D17" s="10">
        <f t="shared" ref="D17:G17" ca="1" si="3">D16*D14</f>
        <v>0</v>
      </c>
      <c r="E17" s="10">
        <f t="shared" ca="1" si="3"/>
        <v>0</v>
      </c>
      <c r="F17" s="10">
        <f t="shared" ca="1" si="3"/>
        <v>0</v>
      </c>
      <c r="G17" s="10">
        <f t="shared" ca="1" si="3"/>
        <v>0</v>
      </c>
    </row>
    <row r="18" spans="1:7" x14ac:dyDescent="0.35">
      <c r="A18" s="8" t="s">
        <v>75</v>
      </c>
      <c r="B18" s="14"/>
      <c r="C18" s="14">
        <f ca="1">C16*C17+Assumptions!D24</f>
        <v>2800.0000000000005</v>
      </c>
      <c r="D18" s="14">
        <f ca="1">D16*D17+Assumptions!E24</f>
        <v>2800.0000000000005</v>
      </c>
      <c r="E18" s="14">
        <f ca="1">E16*E17+Assumptions!F24</f>
        <v>2800.0000000000005</v>
      </c>
      <c r="F18" s="14">
        <f ca="1">F16*F17+Assumptions!G24</f>
        <v>2800.0000000000005</v>
      </c>
      <c r="G18" s="14">
        <f ca="1">G16*G17+Assumptions!H24</f>
        <v>2800.0000000000005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1B45D48646B844BCF67175E7EDD4C7" ma:contentTypeVersion="25" ma:contentTypeDescription="Create a new document." ma:contentTypeScope="" ma:versionID="33f624f548c30d8243a9fd905e457e0a">
  <xsd:schema xmlns:xsd="http://www.w3.org/2001/XMLSchema" xmlns:xs="http://www.w3.org/2001/XMLSchema" xmlns:p="http://schemas.microsoft.com/office/2006/metadata/properties" xmlns:ns2="6423d52d-cc33-4d55-a30a-79dd6b3aa391" xmlns:ns3="01961662-24f8-48fa-8e1b-d6aec199e9f1" targetNamespace="http://schemas.microsoft.com/office/2006/metadata/properties" ma:root="true" ma:fieldsID="6a5d9e74c8d8c82d092558e57a41c457" ns2:_="" ns3:_="">
    <xsd:import namespace="6423d52d-cc33-4d55-a30a-79dd6b3aa391"/>
    <xsd:import namespace="01961662-24f8-48fa-8e1b-d6aec199e9f1"/>
    <xsd:element name="properties">
      <xsd:complexType>
        <xsd:sequence>
          <xsd:element name="documentManagement">
            <xsd:complexType>
              <xsd:all>
                <xsd:element ref="ns2:Details" minOccurs="0"/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Progress" minOccurs="0"/>
                <xsd:element ref="ns2:Support" minOccurs="0"/>
                <xsd:element ref="ns2:MediaServiceObjectDetectorVersions" minOccurs="0"/>
                <xsd:element ref="ns2:Tobereviewedb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23d52d-cc33-4d55-a30a-79dd6b3aa391" elementFormDefault="qualified">
    <xsd:import namespace="http://schemas.microsoft.com/office/2006/documentManagement/types"/>
    <xsd:import namespace="http://schemas.microsoft.com/office/infopath/2007/PartnerControls"/>
    <xsd:element name="Details" ma:index="3" nillable="true" ma:displayName="Details" ma:format="Dropdown" ma:internalName="Details" ma:readOnly="false">
      <xsd:simpleType>
        <xsd:restriction base="dms:Note">
          <xsd:maxLength value="255"/>
        </xsd:restriction>
      </xsd:simple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hidden="true" ma:internalName="MediaServiceKeyPoints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hidden="true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hidden="true" ma:internalName="MediaServiceOCR" ma:readOnly="true">
      <xsd:simpleType>
        <xsd:restriction base="dms:Note"/>
      </xsd:simpleType>
    </xsd:element>
    <xsd:element name="MediaServiceLocation" ma:index="17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2d0fc9f-eb5f-40ac-b597-c984a82382c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Progress" ma:index="25" nillable="true" ma:displayName="Progress" ma:description="Mark your progress with the task." ma:format="Dropdown" ma:internalName="Progress">
      <xsd:simpleType>
        <xsd:restriction base="dms:Choice">
          <xsd:enumeration value="New"/>
          <xsd:enumeration value="Acknowledged"/>
          <xsd:enumeration value="In Progress"/>
          <xsd:enumeration value="Sent to Lead Support"/>
          <xsd:enumeration value="Completed"/>
        </xsd:restriction>
      </xsd:simpleType>
    </xsd:element>
    <xsd:element name="Support" ma:index="26" nillable="true" ma:displayName="Owner(s)" ma:description="Who supports this client?" ma:format="Dropdown" ma:list="UserInfo" ma:SharePointGroup="0" ma:internalName="Support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Tobereviewedby" ma:index="28" nillable="true" ma:displayName="To be reviewed by" ma:format="Dropdown" ma:list="UserInfo" ma:SharePointGroup="0" ma:internalName="Tobereviewedby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961662-24f8-48fa-8e1b-d6aec199e9f1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hidden="true" ma:internalName="SharedWithDetails" ma:readOnly="true">
      <xsd:simpleType>
        <xsd:restriction base="dms:Note"/>
      </xsd:simpleType>
    </xsd:element>
    <xsd:element name="TaxCatchAll" ma:index="23" nillable="true" ma:displayName="Taxonomy Catch All Column" ma:hidden="true" ma:list="{c8808de1-08d2-41a3-bb8f-4625d6fd043e}" ma:internalName="TaxCatchAll" ma:readOnly="false" ma:showField="CatchAllData" ma:web="01961662-24f8-48fa-8e1b-d6aec199e9f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A772FDE-7B67-405C-912F-79931FAB6E2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23d52d-cc33-4d55-a30a-79dd6b3aa391"/>
    <ds:schemaRef ds:uri="01961662-24f8-48fa-8e1b-d6aec199e9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9A4DB5-C5C4-443F-87B2-80C3CEDDC25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Assumptions</vt:lpstr>
      <vt:lpstr>Income statement</vt:lpstr>
      <vt:lpstr>balance sheet</vt:lpstr>
      <vt:lpstr>cashflow statement</vt:lpstr>
      <vt:lpstr>revolver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Career Principles</dc:creator>
  <cp:lastModifiedBy>Lizzie</cp:lastModifiedBy>
  <dcterms:created xsi:type="dcterms:W3CDTF">2023-10-04T09:06:02Z</dcterms:created>
  <dcterms:modified xsi:type="dcterms:W3CDTF">2026-04-14T14:43:35Z</dcterms:modified>
</cp:coreProperties>
</file>