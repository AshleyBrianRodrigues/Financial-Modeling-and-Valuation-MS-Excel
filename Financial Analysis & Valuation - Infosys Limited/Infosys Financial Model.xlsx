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zie\Downloads\"/>
    </mc:Choice>
  </mc:AlternateContent>
  <bookViews>
    <workbookView xWindow="0" yWindow="0" windowWidth="19200" windowHeight="6390" tabRatio="500" firstSheet="14" activeTab="17"/>
  </bookViews>
  <sheets>
    <sheet name="Cover" sheetId="1" r:id="rId1"/>
    <sheet name="Raw Data" sheetId="2" r:id="rId2"/>
    <sheet name="Accounting Concepts" sheetId="3" r:id="rId3"/>
    <sheet name="Income Statement" sheetId="4" r:id="rId4"/>
    <sheet name="Financial Ratios" sheetId="5" r:id="rId5"/>
    <sheet name="Trend Analysis" sheetId="6" r:id="rId6"/>
    <sheet name="3-Statement Model" sheetId="7" r:id="rId7"/>
    <sheet name="Forecasting" sheetId="8" r:id="rId8"/>
    <sheet name="DCF Valuation" sheetId="9" r:id="rId9"/>
    <sheet name="Other Valuations" sheetId="10" r:id="rId10"/>
    <sheet name="EBITDA &amp; EV" sheetId="11" r:id="rId11"/>
    <sheet name="Relative Valuation" sheetId="12" r:id="rId12"/>
    <sheet name="Replacement Cost Model" sheetId="13" r:id="rId13"/>
    <sheet name="Beta Analysis" sheetId="14" r:id="rId14"/>
    <sheet name="Startup Valuation" sheetId="15" r:id="rId15"/>
    <sheet name="Sensitivity Analysis" sheetId="16" r:id="rId16"/>
    <sheet name="Charts" sheetId="17" r:id="rId17"/>
    <sheet name="Final Conclusion" sheetId="18" r:id="rId18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" i="4" l="1"/>
  <c r="B19" i="12"/>
  <c r="B21" i="12"/>
  <c r="B8" i="17"/>
  <c r="E7" i="17"/>
  <c r="B7" i="17"/>
  <c r="B6" i="17"/>
  <c r="B5" i="17"/>
  <c r="B4" i="17"/>
  <c r="B14" i="14"/>
  <c r="B12" i="14"/>
  <c r="B11" i="14"/>
  <c r="B13" i="14" s="1"/>
  <c r="B10" i="14"/>
  <c r="B15" i="14" s="1"/>
  <c r="B16" i="14" s="1"/>
  <c r="B9" i="13"/>
  <c r="B11" i="13" s="1"/>
  <c r="B10" i="12"/>
  <c r="B7" i="12"/>
  <c r="B14" i="11"/>
  <c r="B13" i="11"/>
  <c r="B12" i="11"/>
  <c r="B7" i="11"/>
  <c r="B5" i="11"/>
  <c r="B4" i="11"/>
  <c r="B5" i="10"/>
  <c r="B4" i="10"/>
  <c r="B6" i="10" s="1"/>
  <c r="B7" i="18" s="1"/>
  <c r="B55" i="9"/>
  <c r="B53" i="9"/>
  <c r="B52" i="9"/>
  <c r="B44" i="9"/>
  <c r="B24" i="9"/>
  <c r="B25" i="9" s="1"/>
  <c r="B14" i="9"/>
  <c r="B13" i="9"/>
  <c r="B12" i="9"/>
  <c r="B11" i="9"/>
  <c r="B7" i="9"/>
  <c r="B6" i="9"/>
  <c r="B5" i="9"/>
  <c r="B4" i="9"/>
  <c r="F15" i="8"/>
  <c r="G15" i="8" s="1"/>
  <c r="H15" i="8" s="1"/>
  <c r="I15" i="8" s="1"/>
  <c r="J15" i="8" s="1"/>
  <c r="K15" i="8" s="1"/>
  <c r="E15" i="8"/>
  <c r="D15" i="8"/>
  <c r="C15" i="8"/>
  <c r="B15" i="8"/>
  <c r="E14" i="8"/>
  <c r="J13" i="8"/>
  <c r="K13" i="8" s="1"/>
  <c r="F13" i="8"/>
  <c r="G13" i="8" s="1"/>
  <c r="H13" i="8" s="1"/>
  <c r="I13" i="8" s="1"/>
  <c r="E13" i="8"/>
  <c r="D13" i="8"/>
  <c r="C13" i="8"/>
  <c r="B13" i="8"/>
  <c r="G12" i="8"/>
  <c r="F12" i="8"/>
  <c r="E12" i="8"/>
  <c r="D12" i="8"/>
  <c r="C12" i="8"/>
  <c r="B12" i="8"/>
  <c r="G11" i="8"/>
  <c r="H11" i="8" s="1"/>
  <c r="F11" i="8"/>
  <c r="E11" i="8"/>
  <c r="D11" i="8"/>
  <c r="C11" i="8"/>
  <c r="B11" i="8"/>
  <c r="B8" i="8"/>
  <c r="F30" i="7"/>
  <c r="E30" i="7"/>
  <c r="D30" i="7"/>
  <c r="C30" i="7"/>
  <c r="B30" i="7"/>
  <c r="F28" i="7"/>
  <c r="E28" i="7"/>
  <c r="D28" i="7"/>
  <c r="C28" i="7"/>
  <c r="B28" i="7"/>
  <c r="F27" i="7"/>
  <c r="E27" i="7"/>
  <c r="D27" i="7"/>
  <c r="C27" i="7"/>
  <c r="B27" i="7"/>
  <c r="F25" i="7"/>
  <c r="E25" i="7"/>
  <c r="D25" i="7"/>
  <c r="C25" i="7"/>
  <c r="B25" i="7"/>
  <c r="F18" i="7"/>
  <c r="E18" i="7"/>
  <c r="D18" i="7"/>
  <c r="C18" i="7"/>
  <c r="B18" i="7"/>
  <c r="F17" i="7"/>
  <c r="E17" i="7"/>
  <c r="D17" i="7"/>
  <c r="C17" i="7"/>
  <c r="B17" i="7"/>
  <c r="F16" i="7"/>
  <c r="E16" i="7"/>
  <c r="D16" i="7"/>
  <c r="C16" i="7"/>
  <c r="B16" i="7"/>
  <c r="F15" i="7"/>
  <c r="E15" i="7"/>
  <c r="D15" i="7"/>
  <c r="C15" i="7"/>
  <c r="B15" i="7"/>
  <c r="F8" i="7"/>
  <c r="E8" i="7"/>
  <c r="D8" i="7"/>
  <c r="C8" i="7"/>
  <c r="B8" i="7"/>
  <c r="C7" i="7"/>
  <c r="C9" i="7" s="1"/>
  <c r="F6" i="7"/>
  <c r="E6" i="7"/>
  <c r="D6" i="7"/>
  <c r="D7" i="7" s="1"/>
  <c r="D9" i="7" s="1"/>
  <c r="C6" i="7"/>
  <c r="B6" i="7"/>
  <c r="F5" i="7"/>
  <c r="E5" i="7"/>
  <c r="E7" i="7" s="1"/>
  <c r="E9" i="7" s="1"/>
  <c r="D5" i="7"/>
  <c r="C5" i="7"/>
  <c r="B5" i="7"/>
  <c r="F4" i="7"/>
  <c r="F7" i="7" s="1"/>
  <c r="F9" i="7" s="1"/>
  <c r="E4" i="7"/>
  <c r="D4" i="7"/>
  <c r="C4" i="7"/>
  <c r="B4" i="7"/>
  <c r="B7" i="7" s="1"/>
  <c r="B9" i="7" s="1"/>
  <c r="E7" i="6"/>
  <c r="D5" i="6"/>
  <c r="D4" i="6"/>
  <c r="F3" i="6"/>
  <c r="F4" i="6" s="1"/>
  <c r="E3" i="6"/>
  <c r="D3" i="6"/>
  <c r="E4" i="6" s="1"/>
  <c r="C3" i="6"/>
  <c r="C4" i="6" s="1"/>
  <c r="B3" i="6"/>
  <c r="E12" i="5"/>
  <c r="F11" i="5"/>
  <c r="E11" i="5"/>
  <c r="D11" i="5"/>
  <c r="C11" i="5"/>
  <c r="B11" i="5"/>
  <c r="E7" i="5"/>
  <c r="F5" i="5"/>
  <c r="E5" i="5"/>
  <c r="D5" i="5"/>
  <c r="C5" i="5"/>
  <c r="B5" i="5"/>
  <c r="F4" i="5"/>
  <c r="E4" i="5"/>
  <c r="D4" i="5"/>
  <c r="C4" i="5"/>
  <c r="B4" i="5"/>
  <c r="K18" i="4"/>
  <c r="I18" i="4"/>
  <c r="G18" i="4"/>
  <c r="J18" i="4" s="1"/>
  <c r="E18" i="4"/>
  <c r="C18" i="4"/>
  <c r="F18" i="4" s="1"/>
  <c r="B18" i="4"/>
  <c r="E17" i="4"/>
  <c r="J16" i="4"/>
  <c r="I16" i="4"/>
  <c r="H16" i="4"/>
  <c r="G16" i="4"/>
  <c r="F16" i="4"/>
  <c r="E16" i="4"/>
  <c r="D16" i="4"/>
  <c r="C16" i="4"/>
  <c r="B16" i="4"/>
  <c r="K16" i="4" s="1"/>
  <c r="I15" i="4"/>
  <c r="K15" i="4" s="1"/>
  <c r="G15" i="4"/>
  <c r="E15" i="4"/>
  <c r="H15" i="4" s="1"/>
  <c r="C15" i="4"/>
  <c r="B15" i="4"/>
  <c r="D15" i="4" s="1"/>
  <c r="K14" i="4"/>
  <c r="I14" i="4"/>
  <c r="H14" i="4"/>
  <c r="G14" i="4"/>
  <c r="J14" i="4" s="1"/>
  <c r="E14" i="4"/>
  <c r="C14" i="4"/>
  <c r="F14" i="4" s="1"/>
  <c r="B14" i="4"/>
  <c r="F8" i="4"/>
  <c r="E8" i="4"/>
  <c r="D8" i="4"/>
  <c r="C8" i="4"/>
  <c r="B8" i="4"/>
  <c r="F6" i="4"/>
  <c r="E6" i="4"/>
  <c r="D6" i="4"/>
  <c r="C6" i="4"/>
  <c r="B6" i="4"/>
  <c r="F5" i="4"/>
  <c r="E5" i="4"/>
  <c r="D5" i="4"/>
  <c r="C5" i="4"/>
  <c r="B5" i="4"/>
  <c r="F4" i="4"/>
  <c r="E4" i="4"/>
  <c r="D4" i="4"/>
  <c r="C4" i="4"/>
  <c r="B4" i="4"/>
  <c r="E13" i="2"/>
  <c r="E12" i="2"/>
  <c r="F11" i="2"/>
  <c r="F12" i="5" s="1"/>
  <c r="E11" i="2"/>
  <c r="C7" i="17" s="1"/>
  <c r="D11" i="2"/>
  <c r="C11" i="2"/>
  <c r="B11" i="2"/>
  <c r="C10" i="7" l="1"/>
  <c r="C11" i="7"/>
  <c r="C24" i="7" s="1"/>
  <c r="C26" i="7" s="1"/>
  <c r="C29" i="7" s="1"/>
  <c r="B10" i="7"/>
  <c r="B11" i="7" s="1"/>
  <c r="D10" i="7"/>
  <c r="D11" i="7" s="1"/>
  <c r="D24" i="7" s="1"/>
  <c r="D26" i="7" s="1"/>
  <c r="D29" i="7" s="1"/>
  <c r="B14" i="8"/>
  <c r="E4" i="17"/>
  <c r="C4" i="17"/>
  <c r="B7" i="4"/>
  <c r="B7" i="6"/>
  <c r="F12" i="2"/>
  <c r="B7" i="5"/>
  <c r="E10" i="7"/>
  <c r="E11" i="7" s="1"/>
  <c r="E24" i="7" s="1"/>
  <c r="E26" i="7" s="1"/>
  <c r="E29" i="7" s="1"/>
  <c r="E5" i="17"/>
  <c r="C7" i="6"/>
  <c r="C12" i="5"/>
  <c r="C7" i="5"/>
  <c r="C17" i="4"/>
  <c r="C13" i="2"/>
  <c r="C5" i="6"/>
  <c r="C5" i="17"/>
  <c r="C14" i="8"/>
  <c r="B13" i="2"/>
  <c r="J15" i="4"/>
  <c r="F5" i="6"/>
  <c r="B6" i="11"/>
  <c r="B8" i="11" s="1"/>
  <c r="B8" i="12" s="1"/>
  <c r="D12" i="2"/>
  <c r="C6" i="17"/>
  <c r="D14" i="8"/>
  <c r="D7" i="6"/>
  <c r="D12" i="5"/>
  <c r="D7" i="5"/>
  <c r="C12" i="2"/>
  <c r="D13" i="2"/>
  <c r="D7" i="4"/>
  <c r="F15" i="4"/>
  <c r="H18" i="4"/>
  <c r="F7" i="5"/>
  <c r="F7" i="6"/>
  <c r="H14" i="8"/>
  <c r="H12" i="8"/>
  <c r="F7" i="4"/>
  <c r="B17" i="4"/>
  <c r="I17" i="4"/>
  <c r="D18" i="4"/>
  <c r="B5" i="6"/>
  <c r="I11" i="8"/>
  <c r="G14" i="8"/>
  <c r="E6" i="17"/>
  <c r="B22" i="9"/>
  <c r="B23" i="9" s="1"/>
  <c r="B26" i="9" s="1"/>
  <c r="F14" i="8"/>
  <c r="E8" i="17"/>
  <c r="C8" i="17"/>
  <c r="F13" i="2"/>
  <c r="F11" i="7"/>
  <c r="F24" i="7" s="1"/>
  <c r="F26" i="7" s="1"/>
  <c r="F29" i="7" s="1"/>
  <c r="F10" i="7"/>
  <c r="B12" i="2"/>
  <c r="C7" i="4"/>
  <c r="F17" i="4"/>
  <c r="B12" i="5"/>
  <c r="E14" i="2"/>
  <c r="E9" i="4" s="1"/>
  <c r="B15" i="9"/>
  <c r="B16" i="9" s="1"/>
  <c r="B15" i="11"/>
  <c r="B9" i="12"/>
  <c r="B11" i="12" s="1"/>
  <c r="B12" i="12" s="1"/>
  <c r="B5" i="18" s="1"/>
  <c r="E7" i="4"/>
  <c r="G17" i="4"/>
  <c r="H17" i="4" s="1"/>
  <c r="E5" i="6"/>
  <c r="B24" i="7" l="1"/>
  <c r="B26" i="7" s="1"/>
  <c r="B29" i="7" s="1"/>
  <c r="B19" i="7"/>
  <c r="C19" i="7" s="1"/>
  <c r="D19" i="7" s="1"/>
  <c r="E19" i="7" s="1"/>
  <c r="F19" i="7" s="1"/>
  <c r="B18" i="9"/>
  <c r="I14" i="8"/>
  <c r="I12" i="8"/>
  <c r="J11" i="8"/>
  <c r="H16" i="8"/>
  <c r="H17" i="8" s="1"/>
  <c r="B32" i="9"/>
  <c r="F14" i="2"/>
  <c r="F9" i="4" s="1"/>
  <c r="F15" i="2"/>
  <c r="D14" i="2"/>
  <c r="D9" i="4" s="1"/>
  <c r="D15" i="2"/>
  <c r="B14" i="2"/>
  <c r="B9" i="4" s="1"/>
  <c r="B15" i="2"/>
  <c r="C14" i="2"/>
  <c r="C9" i="4" s="1"/>
  <c r="C15" i="2"/>
  <c r="E15" i="2"/>
  <c r="B17" i="9"/>
  <c r="B16" i="11"/>
  <c r="B30" i="9"/>
  <c r="G16" i="8"/>
  <c r="G17" i="8" s="1"/>
  <c r="K17" i="4"/>
  <c r="J17" i="4"/>
  <c r="D17" i="4"/>
  <c r="F4" i="17" l="1"/>
  <c r="B16" i="8"/>
  <c r="B17" i="8" s="1"/>
  <c r="B8" i="6"/>
  <c r="B8" i="5"/>
  <c r="B10" i="4"/>
  <c r="B9" i="5"/>
  <c r="B19" i="4"/>
  <c r="D4" i="17"/>
  <c r="B6" i="6"/>
  <c r="F8" i="17"/>
  <c r="F16" i="8"/>
  <c r="F17" i="8" s="1"/>
  <c r="F8" i="6"/>
  <c r="F8" i="5"/>
  <c r="F10" i="4"/>
  <c r="D8" i="17"/>
  <c r="F6" i="6"/>
  <c r="F9" i="5"/>
  <c r="B20" i="12"/>
  <c r="B6" i="18" s="1"/>
  <c r="I19" i="4"/>
  <c r="J14" i="8"/>
  <c r="J12" i="8"/>
  <c r="K11" i="8"/>
  <c r="C19" i="4"/>
  <c r="D19" i="4" s="1"/>
  <c r="D5" i="17"/>
  <c r="F5" i="17"/>
  <c r="C6" i="6"/>
  <c r="C16" i="8"/>
  <c r="C17" i="8" s="1"/>
  <c r="C8" i="6"/>
  <c r="C8" i="5"/>
  <c r="C9" i="5"/>
  <c r="C10" i="4"/>
  <c r="D6" i="17"/>
  <c r="D6" i="6"/>
  <c r="D16" i="8"/>
  <c r="D17" i="8" s="1"/>
  <c r="D8" i="6"/>
  <c r="D9" i="5"/>
  <c r="D8" i="5"/>
  <c r="E19" i="4"/>
  <c r="F6" i="17"/>
  <c r="D10" i="4"/>
  <c r="I16" i="8"/>
  <c r="I17" i="8" s="1"/>
  <c r="B34" i="9"/>
  <c r="E9" i="5"/>
  <c r="G19" i="4"/>
  <c r="F7" i="17"/>
  <c r="D7" i="17"/>
  <c r="E16" i="8"/>
  <c r="E17" i="8" s="1"/>
  <c r="E8" i="6"/>
  <c r="E6" i="6"/>
  <c r="E10" i="4"/>
  <c r="E8" i="5"/>
  <c r="F19" i="4" l="1"/>
  <c r="K12" i="8"/>
  <c r="K14" i="8" s="1"/>
  <c r="B36" i="9"/>
  <c r="J16" i="8"/>
  <c r="J17" i="8" s="1"/>
  <c r="K19" i="4"/>
  <c r="J19" i="4"/>
  <c r="H19" i="4"/>
  <c r="D4" i="16" l="1"/>
  <c r="B38" i="9"/>
  <c r="K16" i="8"/>
  <c r="K17" i="8" s="1"/>
  <c r="B5" i="16"/>
  <c r="E8" i="16"/>
  <c r="E4" i="16"/>
  <c r="C6" i="16"/>
  <c r="B7" i="16"/>
  <c r="C7" i="16"/>
  <c r="E6" i="16"/>
  <c r="B8" i="16"/>
  <c r="B6" i="16"/>
  <c r="B45" i="9" l="1"/>
  <c r="B46" i="9" s="1"/>
  <c r="B47" i="9" s="1"/>
  <c r="B4" i="16"/>
  <c r="D8" i="16"/>
  <c r="C4" i="16"/>
  <c r="E5" i="16"/>
  <c r="B40" i="9"/>
  <c r="B48" i="9" s="1"/>
  <c r="B54" i="9" s="1"/>
  <c r="B56" i="9" s="1"/>
  <c r="B4" i="18" s="1"/>
  <c r="C5" i="16"/>
  <c r="D6" i="16"/>
  <c r="C8" i="16"/>
  <c r="D7" i="16"/>
  <c r="D5" i="16"/>
  <c r="E7" i="16"/>
</calcChain>
</file>

<file path=xl/sharedStrings.xml><?xml version="1.0" encoding="utf-8"?>
<sst xmlns="http://schemas.openxmlformats.org/spreadsheetml/2006/main" count="437" uniqueCount="298">
  <si>
    <t>FY 2020 – FY 2024  |  All figures in ₹ Crores</t>
  </si>
  <si>
    <t>Prepared by:</t>
  </si>
  <si>
    <t>Ashley Brian R</t>
  </si>
  <si>
    <t>Subject:</t>
  </si>
  <si>
    <t>Financial Statement Analysis, Forecasting and Valuation of a Company</t>
  </si>
  <si>
    <t>Date:</t>
  </si>
  <si>
    <t>May 2026</t>
  </si>
  <si>
    <t>Sections</t>
  </si>
  <si>
    <t>TABLE OF CONTENTS</t>
  </si>
  <si>
    <t>Raw Data</t>
  </si>
  <si>
    <t>Given historical IS &amp; BS data + assumptions</t>
  </si>
  <si>
    <t>Accounting Concepts</t>
  </si>
  <si>
    <t>Que 1–3: Concepts, cycle, 3-statement relationship</t>
  </si>
  <si>
    <t>Income Statement</t>
  </si>
  <si>
    <t>Que 4–5: Common size &amp; comparative analysis</t>
  </si>
  <si>
    <t>Financial Ratios</t>
  </si>
  <si>
    <t>Que 6: Liquidity, profitability, leverage ratios</t>
  </si>
  <si>
    <t>Trend Analysis</t>
  </si>
  <si>
    <t>Que 7: Revenue &amp; profit trends with interpretation</t>
  </si>
  <si>
    <t>3-Statement Model</t>
  </si>
  <si>
    <t>Que 8–9: Integrated IS / BS / CFS model</t>
  </si>
  <si>
    <t>Forecasting</t>
  </si>
  <si>
    <t>Que 10–11: 5-year revenue, profit &amp; FCF forecast</t>
  </si>
  <si>
    <t>DCF Valuation</t>
  </si>
  <si>
    <t>Que 12–18: WACC, FCF, terminal value, equity value</t>
  </si>
  <si>
    <t>Other Valuations</t>
  </si>
  <si>
    <t>Que 19–20: Book value, Adjusted book value per share</t>
  </si>
  <si>
    <t>EBITDA &amp; EV</t>
  </si>
  <si>
    <t>Que 21: Calculating EBITDA &amp; EV</t>
  </si>
  <si>
    <t>Relative Valuation</t>
  </si>
  <si>
    <t>Que 22: EV/EBITDA &amp; P/E Method</t>
  </si>
  <si>
    <t>Replacement Cost Model</t>
  </si>
  <si>
    <t>Que 23–24: RCM</t>
  </si>
  <si>
    <t>Beta Analysis</t>
  </si>
  <si>
    <t>Que 25–26: Asset beta, Equity beta, Unlevered &amp; Re-levered</t>
  </si>
  <si>
    <t>Startup Valuation</t>
  </si>
  <si>
    <t xml:space="preserve">Que 27 : Explain startup </t>
  </si>
  <si>
    <t>Sensitivity Analysis</t>
  </si>
  <si>
    <t>Que 28: WACC × growth rate matrix</t>
  </si>
  <si>
    <t>Charts</t>
  </si>
  <si>
    <t>Que 29: Revenue, profit, margin charts</t>
  </si>
  <si>
    <t>Final Conclusion</t>
  </si>
  <si>
    <t>Que 30: Valuation verdict</t>
  </si>
  <si>
    <t>INCOME STATEMENT  (Given inputs from question)</t>
  </si>
  <si>
    <t>FY 2020</t>
  </si>
  <si>
    <t>FY 2021</t>
  </si>
  <si>
    <t>FY 2022</t>
  </si>
  <si>
    <t>FY 2023</t>
  </si>
  <si>
    <t>FY 2024</t>
  </si>
  <si>
    <t>Revenue</t>
  </si>
  <si>
    <t>Operating Expenses</t>
  </si>
  <si>
    <t>Depreciation</t>
  </si>
  <si>
    <t>Interest Expense</t>
  </si>
  <si>
    <t>Tax Rate</t>
  </si>
  <si>
    <t>DERIVED FIGURES</t>
  </si>
  <si>
    <t>EBIT</t>
  </si>
  <si>
    <t>EBITDA</t>
  </si>
  <si>
    <t>EBT</t>
  </si>
  <si>
    <t>Tax</t>
  </si>
  <si>
    <t>Net Profit</t>
  </si>
  <si>
    <t xml:space="preserve">BALANCE SHEET  </t>
  </si>
  <si>
    <t>Total Assets</t>
  </si>
  <si>
    <t>Total Debt</t>
  </si>
  <si>
    <t>Cash &amp; Equivalents</t>
  </si>
  <si>
    <t>Total Equity</t>
  </si>
  <si>
    <t>KEY ASSUMPTIONS</t>
  </si>
  <si>
    <t>Assumption</t>
  </si>
  <si>
    <t>Value</t>
  </si>
  <si>
    <t>Risk-Free Rate (Rf)</t>
  </si>
  <si>
    <t>Market Return (Rm)</t>
  </si>
  <si>
    <t>Equity Beta (β)</t>
  </si>
  <si>
    <t>Cost of Debt (Kd)</t>
  </si>
  <si>
    <t>Shares Outstanding (Crores)</t>
  </si>
  <si>
    <t>Terminal Growth Rate (g)</t>
  </si>
  <si>
    <t>Question 1: Basic Accounting Assumptions</t>
  </si>
  <si>
    <t>Concept</t>
  </si>
  <si>
    <t>Explanation</t>
  </si>
  <si>
    <t>Going Concern</t>
  </si>
  <si>
    <t>Consistency</t>
  </si>
  <si>
    <t>The consistency principle requires that the same accounting methods are applied from one period to the next (e.g., same depreciation method). This enables meaningful year-on-year comparisons. Any change must be disclosed with its financial impact.</t>
  </si>
  <si>
    <t>Accrual Concept</t>
  </si>
  <si>
    <t>Revenues are recognised when earned (not when cash is received), and expenses are recorded when incurred (not when paid). Example: If Infosys completes a project in March but invoices in April, revenue is still recorded in March. This gives a more accurate picture than cash-basis accounting.</t>
  </si>
  <si>
    <t>Question 2: The Accounting Cycle</t>
  </si>
  <si>
    <t>Journal</t>
  </si>
  <si>
    <t>The book of original entry. Every transaction is first recorded chronologically as a journal entry using double-entry (debit one account, credit another). E.g.: Revenue received → Debit Cash, Credit Revenue.</t>
  </si>
  <si>
    <t>Ledger</t>
  </si>
  <si>
    <t>The book of final entry. Journal entries are posted to individual ledger accounts to build up balances. E.g.: All cash transactions are posted to the Cash ledger account.</t>
  </si>
  <si>
    <t>Trial Balance</t>
  </si>
  <si>
    <t>Final Accounts</t>
  </si>
  <si>
    <t>Question 3: Relationship Between the Three Financial Statements</t>
  </si>
  <si>
    <t>Link</t>
  </si>
  <si>
    <t>IS → Balance Sheet</t>
  </si>
  <si>
    <t>Net Profit from the Income Statement flows into the Balance Sheet via Retained Earnings (within Equity). A profitable year increases equity.</t>
  </si>
  <si>
    <t>IS → Cash Flow Stmt</t>
  </si>
  <si>
    <t>Net Profit is the starting point for the indirect method Cash Flow Statement (Operating Question). Non-cash items like Depreciation are added back.</t>
  </si>
  <si>
    <t>BS → Cash Flow Stmt</t>
  </si>
  <si>
    <t>Changes in Balance Sheet working capital items (receivables, payables) appear as adjustments in Operating Cash Flows. Capex links to changes in fixed assets; debt issuances appear in Financing Cash Flows.</t>
  </si>
  <si>
    <t>CFS → Balance Sheet</t>
  </si>
  <si>
    <t>The closing cash balance in the Cash Flow Statement equals the Cash &amp; Equivalents figure on the Balance Sheet.</t>
  </si>
  <si>
    <t>Question 4: Common Size Income Statement  (% of Revenue)</t>
  </si>
  <si>
    <t>Item</t>
  </si>
  <si>
    <t>(-) Operating Exp.</t>
  </si>
  <si>
    <t>(-) Depreciation</t>
  </si>
  <si>
    <t>(-) Interest</t>
  </si>
  <si>
    <t>(-) Tax</t>
  </si>
  <si>
    <t>Question 5: Comparative Income Statement  (₹ Crores + YoY % Change)</t>
  </si>
  <si>
    <t>FY20</t>
  </si>
  <si>
    <t>FY21</t>
  </si>
  <si>
    <t>YoY%</t>
  </si>
  <si>
    <t>FY22</t>
  </si>
  <si>
    <t>FY23</t>
  </si>
  <si>
    <t>FY24</t>
  </si>
  <si>
    <t>CAGR</t>
  </si>
  <si>
    <t>Interest</t>
  </si>
  <si>
    <t>Question 6: FINANCIAL RATIOS  (FY 2020 – FY 2024)</t>
  </si>
  <si>
    <t>Ratio</t>
  </si>
  <si>
    <t>LIQUIDITY</t>
  </si>
  <si>
    <t>Current Ratio</t>
  </si>
  <si>
    <t>Quick Ratio</t>
  </si>
  <si>
    <t>PROFITABILITY</t>
  </si>
  <si>
    <t>Operating Margin</t>
  </si>
  <si>
    <t>Net Profit Margin</t>
  </si>
  <si>
    <t>Return on Equity (ROE)</t>
  </si>
  <si>
    <t>LEVERAGE</t>
  </si>
  <si>
    <t>Debt to Equity Ratio</t>
  </si>
  <si>
    <t>Interest Coverage Ratio</t>
  </si>
  <si>
    <t>Question 7: TREND ANALYSIS  (FY 2020 – FY 2024)</t>
  </si>
  <si>
    <t>Metric</t>
  </si>
  <si>
    <t>Revenue (₹ Cr)</t>
  </si>
  <si>
    <t>YoY Revenue Growth</t>
  </si>
  <si>
    <t>0</t>
  </si>
  <si>
    <t>EBIT (₹ Cr)</t>
  </si>
  <si>
    <t>Net Profit (₹ Cr)</t>
  </si>
  <si>
    <t>Trend</t>
  </si>
  <si>
    <t>Observation</t>
  </si>
  <si>
    <t>Revenue Trend</t>
  </si>
  <si>
    <t>Revenue grew from ₹90,000 Cr (FY20) to ₹1,20,000 Cr (FY24) CAGR ~7.5%. Growth accelerated in FY23 (+10%) indicating strong demand momentum.</t>
  </si>
  <si>
    <t>Profitability Trend</t>
  </si>
  <si>
    <t>Net Profit rose from ₹15,375 Cr to ₹24,225 Cr (CAGR ~12%). Margins expanded from 17.1% to 20.2%, improving operational efficiency.</t>
  </si>
  <si>
    <t>OPEX Trend</t>
  </si>
  <si>
    <t>OPEX as % of revenue improved from 72.2% (FY20) to 68.3% (FY24), though FY24 saw a slight widening, cost management requires monitoring.</t>
  </si>
  <si>
    <t>Overall View</t>
  </si>
  <si>
    <t>Healthy growth with expanding margins. Trends are broadly positive, a growing, profitable enterprise with improving efficiency.</t>
  </si>
  <si>
    <t>(-) Tax @ 25%</t>
  </si>
  <si>
    <t>Balance Sheet</t>
  </si>
  <si>
    <t>Retained Earnings*</t>
  </si>
  <si>
    <t>* Opening RE assumed ₹40,000 Cr (FY19); all profits retained.</t>
  </si>
  <si>
    <t>Cash Flow Statement  (Indirect Method)</t>
  </si>
  <si>
    <t>(+) Depreciation</t>
  </si>
  <si>
    <t>Cash Flow from Ops (CFO)</t>
  </si>
  <si>
    <t>Cash Flow from Inv (CFI)</t>
  </si>
  <si>
    <t>Cash Flow from Fin (CFF)</t>
  </si>
  <si>
    <t>Net Change in Cash</t>
  </si>
  <si>
    <t>Closing Cash (Given)</t>
  </si>
  <si>
    <t>Forecast Assumptions</t>
  </si>
  <si>
    <t>Revenue Growth Rate</t>
  </si>
  <si>
    <t>OPEX as % of Revenue</t>
  </si>
  <si>
    <t>Depreciation Growth p.a.</t>
  </si>
  <si>
    <t>Interest Growth p.a.</t>
  </si>
  <si>
    <t>Forecast Table</t>
  </si>
  <si>
    <t>FY25E</t>
  </si>
  <si>
    <t>FY26E</t>
  </si>
  <si>
    <t>FY27E</t>
  </si>
  <si>
    <t>FY28E</t>
  </si>
  <si>
    <t>FY29E</t>
  </si>
  <si>
    <t>Cash Flow from Ops</t>
  </si>
  <si>
    <t xml:space="preserve">Cost of Equity (Ke)  </t>
  </si>
  <si>
    <t>Step 2: WACC  (Question 15)</t>
  </si>
  <si>
    <t>Total Debt (FY2024)</t>
  </si>
  <si>
    <t>Total Equity (FY2024)</t>
  </si>
  <si>
    <t>Total Capital (V = D + E)</t>
  </si>
  <si>
    <t>Debt Weight (D/V)</t>
  </si>
  <si>
    <t>Equity Weight (E/V)</t>
  </si>
  <si>
    <t xml:space="preserve">WACC </t>
  </si>
  <si>
    <t>Step 3: NOPAT &amp; Unlevered Free Cash Flow  (Questions 12–13)</t>
  </si>
  <si>
    <t>EBIT (FY2024)</t>
  </si>
  <si>
    <t>NOPAT = EBIT × (1 − Tax Rate)</t>
  </si>
  <si>
    <t>(−) CapEx (proxy: 1.5 × Depreciation)</t>
  </si>
  <si>
    <t xml:space="preserve">Unlevered FCF (FY2024)  </t>
  </si>
  <si>
    <t>Step 4: Projected Free Cash Flows &amp; Present Value</t>
  </si>
  <si>
    <t>FCF Year 1 (FY25E)</t>
  </si>
  <si>
    <t>FCF Year 2 (FY26E)</t>
  </si>
  <si>
    <t>FCF Year 3 (FY27E)</t>
  </si>
  <si>
    <t>FCF Year 4 (FY28E)</t>
  </si>
  <si>
    <t>FCF Year 5 (FY29E)</t>
  </si>
  <si>
    <t xml:space="preserve">PV of FCFs (Sum)  </t>
  </si>
  <si>
    <t>Step 5: Terminal Value &amp; Enterprise Value  (Questions 16–17)</t>
  </si>
  <si>
    <t xml:space="preserve">Terminal Value  </t>
  </si>
  <si>
    <t>PV of Terminal Value</t>
  </si>
  <si>
    <t xml:space="preserve">Enterprise Value (DCF)  </t>
  </si>
  <si>
    <t>Step 6: Equity Value &amp; Value per Share  (Question 18)</t>
  </si>
  <si>
    <t>(−) Total Debt</t>
  </si>
  <si>
    <t>(+) Cash &amp; Equivalents</t>
  </si>
  <si>
    <t xml:space="preserve">Equity Value  </t>
  </si>
  <si>
    <t>Question 19: Book Value per Share</t>
  </si>
  <si>
    <t>Question 20: Adjusted Book Value Method</t>
  </si>
  <si>
    <t>The Adjusted Book Value method restates assets and liabilities at fair market or replacement values rather than historical cost. Intangibles like brand, IP, and goodwill are added; obsolete assets are written down. For Infosys (IT services), intangible assets such as workforce and client relationships often exceed book assets, making this method an underestimate of true value.</t>
  </si>
  <si>
    <t>EBITDA Calculation</t>
  </si>
  <si>
    <t>Revenue (FY2024)</t>
  </si>
  <si>
    <t>(-) Operating Expenses</t>
  </si>
  <si>
    <t>Enterprise Value Calculation</t>
  </si>
  <si>
    <t>Total Assets (FY2024)</t>
  </si>
  <si>
    <t>(+) Total Debt</t>
  </si>
  <si>
    <t>(-) Cash &amp; Equivalents</t>
  </si>
  <si>
    <t>Implied EV/EBITDA</t>
  </si>
  <si>
    <t>EV/EBITDA Method</t>
  </si>
  <si>
    <t>Peer Average EV/EBITDA</t>
  </si>
  <si>
    <t>Infosys EBITDA (FY2024)</t>
  </si>
  <si>
    <t>Implied EV (Peer × EBITDA)</t>
  </si>
  <si>
    <t>(-) Debt + Cash</t>
  </si>
  <si>
    <t>Implied Equity Value</t>
  </si>
  <si>
    <t>P/E Method</t>
  </si>
  <si>
    <t>Peer Average P/E</t>
  </si>
  <si>
    <t>EPS (FY2024)</t>
  </si>
  <si>
    <t>Question 23: Explanation</t>
  </si>
  <si>
    <t>Question 24: Replacement Value Calculation</t>
  </si>
  <si>
    <t>Book Value of Total Assets (FY2024)</t>
  </si>
  <si>
    <t>Inflation Adjustment (+15%)</t>
  </si>
  <si>
    <t>Equity Beta (Levered)</t>
  </si>
  <si>
    <t>Asset Beta (Unlevered)</t>
  </si>
  <si>
    <t>Question 26: Unlevered Beta &amp; Re-Levered Beta</t>
  </si>
  <si>
    <t>Equity Beta (β_L)</t>
  </si>
  <si>
    <t>D/E Ratio</t>
  </si>
  <si>
    <t xml:space="preserve">  Unlevered Beta (Asset Beta)</t>
  </si>
  <si>
    <t xml:space="preserve">  Re-Levered Beta (at same D/E)</t>
  </si>
  <si>
    <t>Aspect</t>
  </si>
  <si>
    <t>No Historical Cash Flows</t>
  </si>
  <si>
    <t>Methods Used for Start-ups</t>
  </si>
  <si>
    <t>Common approaches: VC Method (discount projected exit value at 30–50% hurdle rate), Berkus Method (assign value to key milestones), Scorecard Method (compare to funded peers), or recent funding round comparables.</t>
  </si>
  <si>
    <t>VC Method</t>
  </si>
  <si>
    <t>Key Differences</t>
  </si>
  <si>
    <t>Rows = WACC  |  Columns = Terminal Growth Rate (g)</t>
  </si>
  <si>
    <t>WACC ↓  /  g →</t>
  </si>
  <si>
    <t>Interpretation</t>
  </si>
  <si>
    <t>WACC Effect</t>
  </si>
  <si>
    <t>A higher WACC (discount rate) reduces the present value of all future cash flows, directly lowering the share value. Moving from 8% to 12% WACC compresses valuation significantly - shows how sensitive value is to cost of capital assumptions.</t>
  </si>
  <si>
    <t>Growth Effect</t>
  </si>
  <si>
    <t>Key Insight</t>
  </si>
  <si>
    <t>Infosys valuation is more sensitive to WACC changes than to growth rate changes. Even a 1% rise in WACC cuts value materially. This reinforces the importance of accurate WACC estimation in any DCF model.</t>
  </si>
  <si>
    <t>Year</t>
  </si>
  <si>
    <t>Op Margin</t>
  </si>
  <si>
    <t>NP Margin</t>
  </si>
  <si>
    <t>Valuation Summary</t>
  </si>
  <si>
    <t>Method</t>
  </si>
  <si>
    <t>Value per Share (₹)</t>
  </si>
  <si>
    <t>Book Value per Share</t>
  </si>
  <si>
    <t>Average Value per Share (₹)</t>
  </si>
  <si>
    <t>Final Investment View &amp; Conclusion</t>
  </si>
  <si>
    <t>Question 30: FINAL INVESTMENT VIEW &amp; CONCLUSION</t>
  </si>
  <si>
    <t>Business Quality</t>
  </si>
  <si>
    <t>Valuation View</t>
  </si>
  <si>
    <t>The DCF model yields a conservative value driven by WACC sensitivity. Relative valuation (EV/EBITDA and P/E) gives a higher range, reflecting market premium for quality IT firms. Book value understates value for asset-light businesses.</t>
  </si>
  <si>
    <t>VERDICT</t>
  </si>
  <si>
    <t>Based on the complete financial analysis using hypothetical data, Infosys appears FAIRLY VALUED to SLIGHTLY UNDERVALUED. The average of the three primary methods suggests meaningful upside. An investor with a long-term horizon and moderate risk appetite would find the stock attractively priced at or below the average intrinsic value.</t>
  </si>
  <si>
    <t>Key Risks</t>
  </si>
  <si>
    <t>1) OPEX growing faster than revenue in FY2024. 2) High WACC sensitivity - every 1% rise cuts DCF value materially. 3) Currency risk, client concentration, macro demand slowdown. 4) Peer re-rating could affect relative valuation.</t>
  </si>
  <si>
    <t>DCF VALUE PER SHARE (₹)</t>
  </si>
  <si>
    <t xml:space="preserve">  Book Value per Share (₹)  </t>
  </si>
  <si>
    <t>SECTION 2 - INCOME STATEMENT ANALYSIS  (₹ Crores)</t>
  </si>
  <si>
    <t>SECTION 3 - Questions 8 &amp; 9: INTEGRATED THREE-STATEMENT MODEL  (₹ Crores)</t>
  </si>
  <si>
    <t>SECTION 4 - Questions 10 &amp; 11: FORECASTING  (FY 2020 – FY 2029, ₹ Crores)</t>
  </si>
  <si>
    <t>SECTION 5 - Questions 12–18: DCF VALUATION MODEL         (₹ Crores)</t>
  </si>
  <si>
    <t>SECTION 6 - Questions 19–20: BOOK VALUE PER SHARE</t>
  </si>
  <si>
    <t>SECTION 7 - Question 21: EBITDA &amp; ENTERPRISE VALUE  (₹ Crores)</t>
  </si>
  <si>
    <t>SECTION 9 - Questions 23–24: REPLACEMENT COST MODEL  (₹ Crores)</t>
  </si>
  <si>
    <t>SECTION 10 - Questions 25–26: BETA ANALYSIS</t>
  </si>
  <si>
    <t>SECTION 11 - Question 27: STARTUP VALUATION vs MATURE COMPANIES</t>
  </si>
  <si>
    <t>SECTION 13 - Question 29: DATA VISUALIZATION</t>
  </si>
  <si>
    <t>SECTION 14 - Question 30: FINAL CONCLUSION - Is Infosys Fairly Valued?</t>
  </si>
  <si>
    <t>Infosys shows strong revenue growth (5Y CAGR - 7.5%), consistently expanding profitability, and solid cash generation. Leverage is manageable and declining - a hallmark of a financially sound enterprise.</t>
  </si>
  <si>
    <t>SECTION 12 - Question 28: SENSITIVITY ANALYSIS - Value per Share (₹)</t>
  </si>
  <si>
    <t xml:space="preserve">A higher terminal growth rate (g) increases the terminal value, raising the share price. However, g must stay below WACC - if g ≥ WACCbreaks down </t>
  </si>
  <si>
    <t>Start-ups often have zero or negative revenue and cash flows, making DCF unreliable - projections are highly speculative. For mature companies like Infosys, DCF works because there is a proven track record of earnings and cash flows.</t>
  </si>
  <si>
    <t>Estimate the firm's exit value (e.g., IPO in 5 years) using industry P/E × projected earnings. Discount back at the VC's required return (40%) to account for high failure probability - most start-ups fail.</t>
  </si>
  <si>
    <t>Mature companies - valued on DCF, P/E, EV/EBITDA using stable margins and earnings. Start-ups - valued on potential, team, market size, and runway. No stable margins, often pre-revenue, with high binary risk.</t>
  </si>
  <si>
    <t>Question 25: Equity Beta vs Asset Beta - Concepts</t>
  </si>
  <si>
    <t>Measures total risk borne by equity holders - includes both business (operating) risk and financial risk due to leverage. Higher debt = higher equity beta. Given as 1.1 in this project.</t>
  </si>
  <si>
    <t>Measures pure business (operating) risk - strips out financial leverage. Two firms with identical operations but different capital structures have the same asset beta but different equity betas. Used to compare risk across firms.</t>
  </si>
  <si>
    <t xml:space="preserve">  Replacement Value of Assets (₹ Cr)  </t>
  </si>
  <si>
    <t>The Replacement Cost Method estimates how much it would cost at current prices to recreate the company's entire asset base from scratch. Unlike DCF (income-based) or P/E (market-based), it values the firm based on the physical cost of its assets. Commonly used in insurance, real estate, and capital-intensive sectors. For Infosys, this understates value as human capital and software - the firm's key assets - are not on the balance sheet.</t>
  </si>
  <si>
    <t>TCS - EV/EBITDA</t>
  </si>
  <si>
    <t>Wipro - EV/EBITDA</t>
  </si>
  <si>
    <t>HCL Tech - EV/EBITDA</t>
  </si>
  <si>
    <t xml:space="preserve">  Value per Share - EV/EBITDA (₹)  </t>
  </si>
  <si>
    <t>TCS - P/E</t>
  </si>
  <si>
    <t>Wipro - P/E</t>
  </si>
  <si>
    <t>HCL Tech - P/E</t>
  </si>
  <si>
    <t xml:space="preserve">  Value per Share - P/E (₹)  </t>
  </si>
  <si>
    <t>SECTION 8 - Question 22: RELATIVE VALUATION - Comparable Companies        (₹ Crores)</t>
  </si>
  <si>
    <t xml:space="preserve">  Enterprise Value (EV)  </t>
  </si>
  <si>
    <t xml:space="preserve">  EBITDA  </t>
  </si>
  <si>
    <t>Step 1: Cost of Equity - CAPM  (Question 14)</t>
  </si>
  <si>
    <t>SECTION 1 - ACCOUNTING CONCEPTS  -  Questions 1, 2 &amp; 3</t>
  </si>
  <si>
    <t>The going concern assumption presumes that a business will continue operating indefinitely into the foreseeable future without being forced to liquidate assets. Financial statements are prepared on this basis - assets are recorded at historical cost, not liquidation value. If violated (e.g., near bankruptcy), statements must be prepared on a break-up basis.</t>
  </si>
  <si>
    <t>A statement listing all ledger account balances at period-end to check arithmetical accuracy - total debits must equal total credits. It is a working paper, not a final statement.</t>
  </si>
  <si>
    <t>Comprise the Income Statement (profit/loss), Balance Sheet (financial position), and Cash Flow Statement (cash movements). Prepared from the adjusted trial balance - the formal output of the accounting cycle.</t>
  </si>
  <si>
    <t>RAW DATA  -  Infosys Limited  (₹ Crores)</t>
  </si>
  <si>
    <t>INFOSYS LIMITED - Financial Analysis &amp; Valuation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</si>
</sst>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;\(#,##0\)"/>
    <numFmt numFmtId="165" formatCode="0.0%"/>
    <numFmt numFmtId="166" formatCode="0.0%;\(0.0%\)"/>
    <numFmt numFmtId="167" formatCode="0.00\x"/>
    <numFmt numFmtId="168" formatCode="0.0\x"/>
    <numFmt numFmtId="169" formatCode="#,##0.00;\(#,##0.00\)"/>
    <numFmt numFmtId="170" formatCode="0.0000"/>
    <numFmt numFmtId="171" formatCode="#,##0;\(#,##0\);\-"/>
  </numFmts>
  <fonts count="2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Arial"/>
      <family val="2"/>
      <charset val="1"/>
    </font>
    <font>
      <b/>
      <sz val="10"/>
      <color rgb="FF1F3864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color rgb="FF000000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8000"/>
      <name val="Arial"/>
      <family val="2"/>
      <charset val="1"/>
    </font>
    <font>
      <sz val="10"/>
      <color rgb="FF0080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1F3864"/>
      <name val="Arial"/>
      <family val="2"/>
      <charset val="1"/>
    </font>
    <font>
      <b/>
      <sz val="10"/>
      <color rgb="FF375623"/>
      <name val="Arial"/>
      <family val="2"/>
      <charset val="1"/>
    </font>
    <font>
      <b/>
      <sz val="10"/>
      <name val="Arial"/>
      <family val="2"/>
      <charset val="1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2E4057"/>
        <bgColor rgb="FF1F3864"/>
      </patternFill>
    </fill>
    <fill>
      <patternFill patternType="solid">
        <fgColor rgb="FFD6E8F5"/>
        <bgColor rgb="FFE2EFDA"/>
      </patternFill>
    </fill>
    <fill>
      <patternFill patternType="solid">
        <fgColor rgb="FFEBF3FB"/>
        <bgColor rgb="FFF2F2F2"/>
      </patternFill>
    </fill>
  </fills>
  <borders count="8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4" fillId="2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4" fontId="8" fillId="4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right" vertical="center"/>
    </xf>
    <xf numFmtId="9" fontId="8" fillId="4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left" vertical="center"/>
    </xf>
    <xf numFmtId="164" fontId="9" fillId="7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9" fillId="8" borderId="2" xfId="0" applyFont="1" applyFill="1" applyBorder="1" applyAlignment="1">
      <alignment horizontal="left" vertical="center"/>
    </xf>
    <xf numFmtId="165" fontId="8" fillId="8" borderId="2" xfId="0" applyNumberFormat="1" applyFont="1" applyFill="1" applyBorder="1" applyAlignment="1">
      <alignment horizontal="right" vertical="center"/>
    </xf>
    <xf numFmtId="2" fontId="8" fillId="8" borderId="2" xfId="0" applyNumberFormat="1" applyFont="1" applyFill="1" applyBorder="1" applyAlignment="1">
      <alignment horizontal="right" vertical="center"/>
    </xf>
    <xf numFmtId="3" fontId="8" fillId="8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165" fontId="9" fillId="7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164" fontId="11" fillId="7" borderId="2" xfId="0" applyNumberFormat="1" applyFont="1" applyFill="1" applyBorder="1" applyAlignment="1">
      <alignment horizontal="right" vertical="center"/>
    </xf>
    <xf numFmtId="166" fontId="9" fillId="8" borderId="2" xfId="0" applyNumberFormat="1" applyFont="1" applyFill="1" applyBorder="1" applyAlignment="1">
      <alignment horizontal="right" vertical="center"/>
    </xf>
    <xf numFmtId="164" fontId="12" fillId="5" borderId="2" xfId="0" applyNumberFormat="1" applyFont="1" applyFill="1" applyBorder="1" applyAlignment="1">
      <alignment horizontal="right" vertical="center"/>
    </xf>
    <xf numFmtId="164" fontId="12" fillId="4" borderId="2" xfId="0" applyNumberFormat="1" applyFont="1" applyFill="1" applyBorder="1" applyAlignment="1">
      <alignment horizontal="right" vertical="center"/>
    </xf>
    <xf numFmtId="166" fontId="4" fillId="4" borderId="2" xfId="0" applyNumberFormat="1" applyFont="1" applyFill="1" applyBorder="1" applyAlignment="1">
      <alignment horizontal="right" vertical="center"/>
    </xf>
    <xf numFmtId="167" fontId="4" fillId="4" borderId="2" xfId="0" applyNumberFormat="1" applyFont="1" applyFill="1" applyBorder="1" applyAlignment="1">
      <alignment horizontal="right" vertical="center"/>
    </xf>
    <xf numFmtId="167" fontId="4" fillId="5" borderId="2" xfId="0" applyNumberFormat="1" applyFont="1" applyFill="1" applyBorder="1" applyAlignment="1">
      <alignment horizontal="right" vertical="center"/>
    </xf>
    <xf numFmtId="0" fontId="7" fillId="3" borderId="2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9" borderId="2" xfId="0" applyFont="1" applyFill="1" applyBorder="1" applyAlignment="1">
      <alignment horizontal="center" vertical="center"/>
    </xf>
    <xf numFmtId="164" fontId="9" fillId="10" borderId="2" xfId="0" applyNumberFormat="1" applyFont="1" applyFill="1" applyBorder="1" applyAlignment="1">
      <alignment horizontal="right" vertical="center"/>
    </xf>
    <xf numFmtId="164" fontId="4" fillId="11" borderId="2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vertical="center"/>
    </xf>
    <xf numFmtId="2" fontId="4" fillId="4" borderId="2" xfId="0" applyNumberFormat="1" applyFont="1" applyFill="1" applyBorder="1" applyAlignment="1">
      <alignment horizontal="right" vertical="center"/>
    </xf>
    <xf numFmtId="0" fontId="3" fillId="7" borderId="2" xfId="0" applyFont="1" applyFill="1" applyBorder="1" applyAlignment="1">
      <alignment horizontal="left" vertical="center"/>
    </xf>
    <xf numFmtId="10" fontId="9" fillId="7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64" fontId="13" fillId="2" borderId="2" xfId="0" applyNumberFormat="1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left" vertical="center"/>
    </xf>
    <xf numFmtId="4" fontId="18" fillId="7" borderId="2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 applyAlignment="1">
      <alignment horizontal="left" vertical="center"/>
    </xf>
    <xf numFmtId="164" fontId="4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left" vertical="center"/>
    </xf>
    <xf numFmtId="164" fontId="9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168" fontId="8" fillId="0" borderId="0" xfId="0" applyNumberFormat="1" applyFont="1" applyBorder="1" applyAlignment="1">
      <alignment horizontal="right" vertical="center"/>
    </xf>
    <xf numFmtId="168" fontId="4" fillId="0" borderId="0" xfId="0" applyNumberFormat="1" applyFont="1" applyBorder="1" applyAlignment="1">
      <alignment horizontal="right" vertical="center"/>
    </xf>
    <xf numFmtId="169" fontId="4" fillId="0" borderId="0" xfId="0" applyNumberFormat="1" applyFont="1" applyBorder="1" applyAlignment="1">
      <alignment horizontal="right" vertical="center"/>
    </xf>
    <xf numFmtId="9" fontId="8" fillId="0" borderId="0" xfId="0" applyNumberFormat="1" applyFont="1" applyBorder="1" applyAlignment="1">
      <alignment horizontal="right" vertical="center"/>
    </xf>
    <xf numFmtId="164" fontId="18" fillId="7" borderId="2" xfId="0" applyNumberFormat="1" applyFont="1" applyFill="1" applyBorder="1" applyAlignment="1">
      <alignment horizontal="right" vertical="center"/>
    </xf>
    <xf numFmtId="168" fontId="17" fillId="5" borderId="2" xfId="0" applyNumberFormat="1" applyFont="1" applyFill="1" applyBorder="1" applyAlignment="1">
      <alignment horizontal="right" vertical="center"/>
    </xf>
    <xf numFmtId="0" fontId="18" fillId="5" borderId="2" xfId="0" applyFont="1" applyFill="1" applyBorder="1" applyAlignment="1">
      <alignment horizontal="left" vertical="center"/>
    </xf>
    <xf numFmtId="164" fontId="17" fillId="5" borderId="2" xfId="0" applyNumberFormat="1" applyFont="1" applyFill="1" applyBorder="1" applyAlignment="1">
      <alignment horizontal="right" vertical="center"/>
    </xf>
    <xf numFmtId="0" fontId="3" fillId="6" borderId="4" xfId="0" applyFont="1" applyFill="1" applyBorder="1" applyAlignment="1">
      <alignment vertical="center"/>
    </xf>
    <xf numFmtId="170" fontId="9" fillId="7" borderId="2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center" vertical="center" wrapText="1"/>
    </xf>
    <xf numFmtId="9" fontId="7" fillId="3" borderId="2" xfId="0" applyNumberFormat="1" applyFont="1" applyFill="1" applyBorder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164" fontId="9" fillId="5" borderId="2" xfId="0" applyNumberFormat="1" applyFont="1" applyFill="1" applyBorder="1" applyAlignment="1">
      <alignment horizontal="right" vertical="center"/>
    </xf>
    <xf numFmtId="0" fontId="10" fillId="0" borderId="0" xfId="0" applyFont="1"/>
    <xf numFmtId="49" fontId="4" fillId="4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9" fillId="5" borderId="2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71" fontId="10" fillId="0" borderId="0" xfId="0" applyNumberFormat="1" applyFont="1" applyAlignment="1">
      <alignment horizontal="right" vertical="center"/>
    </xf>
    <xf numFmtId="0" fontId="20" fillId="7" borderId="2" xfId="0" applyFont="1" applyFill="1" applyBorder="1" applyAlignment="1">
      <alignment horizontal="left" vertical="center"/>
    </xf>
    <xf numFmtId="0" fontId="15" fillId="6" borderId="2" xfId="0" applyFont="1" applyFill="1" applyBorder="1" applyAlignment="1">
      <alignment horizontal="left" vertical="center"/>
    </xf>
    <xf numFmtId="0" fontId="17" fillId="8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left" vertical="center"/>
    </xf>
    <xf numFmtId="0" fontId="17" fillId="4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/>
    </xf>
    <xf numFmtId="164" fontId="21" fillId="7" borderId="2" xfId="0" applyNumberFormat="1" applyFont="1" applyFill="1" applyBorder="1" applyAlignment="1">
      <alignment horizontal="right" vertical="center"/>
    </xf>
    <xf numFmtId="166" fontId="10" fillId="7" borderId="2" xfId="0" applyNumberFormat="1" applyFont="1" applyFill="1" applyBorder="1" applyAlignment="1">
      <alignment horizontal="right" vertical="center"/>
    </xf>
    <xf numFmtId="164" fontId="10" fillId="5" borderId="2" xfId="0" applyNumberFormat="1" applyFont="1" applyFill="1" applyBorder="1" applyAlignment="1">
      <alignment horizontal="right" vertical="center"/>
    </xf>
    <xf numFmtId="166" fontId="10" fillId="5" borderId="2" xfId="0" applyNumberFormat="1" applyFont="1" applyFill="1" applyBorder="1" applyAlignment="1">
      <alignment horizontal="right" vertical="center"/>
    </xf>
    <xf numFmtId="164" fontId="10" fillId="4" borderId="2" xfId="0" applyNumberFormat="1" applyFont="1" applyFill="1" applyBorder="1" applyAlignment="1">
      <alignment horizontal="right" vertical="center"/>
    </xf>
    <xf numFmtId="166" fontId="10" fillId="4" borderId="2" xfId="0" applyNumberFormat="1" applyFont="1" applyFill="1" applyBorder="1" applyAlignment="1">
      <alignment horizontal="right" vertical="center"/>
    </xf>
    <xf numFmtId="164" fontId="1" fillId="4" borderId="2" xfId="0" applyNumberFormat="1" applyFont="1" applyFill="1" applyBorder="1" applyAlignment="1">
      <alignment horizontal="right" vertical="center"/>
    </xf>
    <xf numFmtId="164" fontId="1" fillId="5" borderId="2" xfId="0" applyNumberFormat="1" applyFont="1" applyFill="1" applyBorder="1" applyAlignment="1">
      <alignment horizontal="right" vertical="center"/>
    </xf>
    <xf numFmtId="0" fontId="22" fillId="3" borderId="2" xfId="0" applyFont="1" applyFill="1" applyBorder="1" applyAlignment="1">
      <alignment horizontal="center" vertical="center"/>
    </xf>
    <xf numFmtId="164" fontId="23" fillId="4" borderId="2" xfId="0" applyNumberFormat="1" applyFont="1" applyFill="1" applyBorder="1" applyAlignment="1">
      <alignment horizontal="right" vertical="center"/>
    </xf>
    <xf numFmtId="164" fontId="23" fillId="5" borderId="2" xfId="0" applyNumberFormat="1" applyFont="1" applyFill="1" applyBorder="1" applyAlignment="1">
      <alignment horizontal="right" vertical="center"/>
    </xf>
    <xf numFmtId="168" fontId="23" fillId="4" borderId="2" xfId="0" applyNumberFormat="1" applyFont="1" applyFill="1" applyBorder="1" applyAlignment="1">
      <alignment horizontal="right" vertical="center"/>
    </xf>
    <xf numFmtId="168" fontId="23" fillId="5" borderId="2" xfId="0" applyNumberFormat="1" applyFont="1" applyFill="1" applyBorder="1" applyAlignment="1">
      <alignment horizontal="right" vertical="center"/>
    </xf>
    <xf numFmtId="4" fontId="23" fillId="4" borderId="2" xfId="0" applyNumberFormat="1" applyFont="1" applyFill="1" applyBorder="1" applyAlignment="1">
      <alignment horizontal="right" vertical="center"/>
    </xf>
    <xf numFmtId="164" fontId="24" fillId="7" borderId="2" xfId="0" applyNumberFormat="1" applyFont="1" applyFill="1" applyBorder="1" applyAlignment="1">
      <alignment horizontal="right" vertical="center"/>
    </xf>
    <xf numFmtId="9" fontId="23" fillId="5" borderId="2" xfId="0" applyNumberFormat="1" applyFont="1" applyFill="1" applyBorder="1" applyAlignment="1">
      <alignment horizontal="right" vertical="center"/>
    </xf>
    <xf numFmtId="164" fontId="25" fillId="4" borderId="2" xfId="0" applyNumberFormat="1" applyFont="1" applyFill="1" applyBorder="1" applyAlignment="1">
      <alignment horizontal="right" vertical="center"/>
    </xf>
    <xf numFmtId="164" fontId="25" fillId="5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78787"/>
      <rgbColor rgb="FF5B9BD5"/>
      <rgbColor rgb="FFBE4B48"/>
      <rgbColor rgb="FFF2F2F2"/>
      <rgbColor rgb="FFD6E8F5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F99"/>
      <rgbColor rgb="FF99CCFF"/>
      <rgbColor rgb="FFFF99CC"/>
      <rgbColor rgb="FFCC99FF"/>
      <rgbColor rgb="FFD9D9D9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1F3864"/>
      <rgbColor rgb="FF4A7EBB"/>
      <rgbColor rgb="FF003300"/>
      <rgbColor rgb="FF375623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Growth (₹ Crores)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Charts!$A$4:$A$8</c:f>
              <c:strCache>
                <c:ptCount val="5"/>
                <c:pt idx="0">
                  <c:v>FY 2020</c:v>
                </c:pt>
                <c:pt idx="1">
                  <c:v>FY 2021</c:v>
                </c:pt>
                <c:pt idx="2">
                  <c:v>FY 2022</c:v>
                </c:pt>
                <c:pt idx="3">
                  <c:v>FY 2023</c:v>
                </c:pt>
                <c:pt idx="4">
                  <c:v>FY 2024</c:v>
                </c:pt>
              </c:strCache>
            </c:strRef>
          </c:cat>
          <c:val>
            <c:numRef>
              <c:f>Charts!$B$4:$B$8</c:f>
              <c:numCache>
                <c:formatCode>#,##0;\(#,##0\)</c:formatCode>
                <c:ptCount val="5"/>
                <c:pt idx="0">
                  <c:v>90000</c:v>
                </c:pt>
                <c:pt idx="1">
                  <c:v>95000</c:v>
                </c:pt>
                <c:pt idx="2">
                  <c:v>100000</c:v>
                </c:pt>
                <c:pt idx="3">
                  <c:v>110000</c:v>
                </c:pt>
                <c:pt idx="4">
                  <c:v>120000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485177520"/>
        <c:axId val="-485171536"/>
      </c:barChart>
      <c:catAx>
        <c:axId val="-485177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485171536"/>
        <c:crosses val="autoZero"/>
        <c:auto val="1"/>
        <c:lblAlgn val="ctr"/>
        <c:lblOffset val="100"/>
        <c:noMultiLvlLbl val="0"/>
      </c:catAx>
      <c:valAx>
        <c:axId val="-4851715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485177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EBIT &amp; Net Profit (₹ Crores)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EBIT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Charts!$A$4:$A$8</c:f>
              <c:strCache>
                <c:ptCount val="5"/>
                <c:pt idx="0">
                  <c:v>FY 2020</c:v>
                </c:pt>
                <c:pt idx="1">
                  <c:v>FY 2021</c:v>
                </c:pt>
                <c:pt idx="2">
                  <c:v>FY 2022</c:v>
                </c:pt>
                <c:pt idx="3">
                  <c:v>FY 2023</c:v>
                </c:pt>
                <c:pt idx="4">
                  <c:v>FY 2024</c:v>
                </c:pt>
              </c:strCache>
            </c:strRef>
          </c:cat>
          <c:val>
            <c:numRef>
              <c:f>Charts!$C$4:$C$8</c:f>
              <c:numCache>
                <c:formatCode>#,##0;\(#,##0\)</c:formatCode>
                <c:ptCount val="5"/>
                <c:pt idx="0">
                  <c:v>21000</c:v>
                </c:pt>
                <c:pt idx="1">
                  <c:v>22800</c:v>
                </c:pt>
                <c:pt idx="2">
                  <c:v>25500</c:v>
                </c:pt>
                <c:pt idx="3">
                  <c:v>30200</c:v>
                </c:pt>
                <c:pt idx="4">
                  <c:v>33000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Charts!$D$3</c:f>
              <c:strCache>
                <c:ptCount val="1"/>
                <c:pt idx="0">
                  <c:v>Net Profit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Charts!$A$4:$A$8</c:f>
              <c:strCache>
                <c:ptCount val="5"/>
                <c:pt idx="0">
                  <c:v>FY 2020</c:v>
                </c:pt>
                <c:pt idx="1">
                  <c:v>FY 2021</c:v>
                </c:pt>
                <c:pt idx="2">
                  <c:v>FY 2022</c:v>
                </c:pt>
                <c:pt idx="3">
                  <c:v>FY 2023</c:v>
                </c:pt>
                <c:pt idx="4">
                  <c:v>FY 2024</c:v>
                </c:pt>
              </c:strCache>
            </c:strRef>
          </c:cat>
          <c:val>
            <c:numRef>
              <c:f>Charts!$D$4:$D$8</c:f>
              <c:numCache>
                <c:formatCode>#,##0;\(#,##0\)</c:formatCode>
                <c:ptCount val="5"/>
                <c:pt idx="0">
                  <c:v>15375</c:v>
                </c:pt>
                <c:pt idx="1">
                  <c:v>16725</c:v>
                </c:pt>
                <c:pt idx="2">
                  <c:v>18675</c:v>
                </c:pt>
                <c:pt idx="3">
                  <c:v>22162.5</c:v>
                </c:pt>
                <c:pt idx="4">
                  <c:v>24225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-485176976"/>
        <c:axId val="-485175888"/>
      </c:lineChart>
      <c:catAx>
        <c:axId val="-4851769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485175888"/>
        <c:crosses val="autoZero"/>
        <c:auto val="1"/>
        <c:lblAlgn val="ctr"/>
        <c:lblOffset val="100"/>
        <c:noMultiLvlLbl val="0"/>
      </c:catAx>
      <c:valAx>
        <c:axId val="-4851758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Crores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4851769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Operating &amp; Net Profit Margin (%)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Charts!$E$3</c:f>
              <c:strCache>
                <c:ptCount val="1"/>
                <c:pt idx="0">
                  <c:v>Op Margin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Charts!$A$4:$A$8</c:f>
              <c:strCache>
                <c:ptCount val="5"/>
                <c:pt idx="0">
                  <c:v>FY 2020</c:v>
                </c:pt>
                <c:pt idx="1">
                  <c:v>FY 2021</c:v>
                </c:pt>
                <c:pt idx="2">
                  <c:v>FY 2022</c:v>
                </c:pt>
                <c:pt idx="3">
                  <c:v>FY 2023</c:v>
                </c:pt>
                <c:pt idx="4">
                  <c:v>FY 2024</c:v>
                </c:pt>
              </c:strCache>
            </c:strRef>
          </c:cat>
          <c:val>
            <c:numRef>
              <c:f>Charts!$E$4:$E$8</c:f>
              <c:numCache>
                <c:formatCode>0.0%</c:formatCode>
                <c:ptCount val="5"/>
                <c:pt idx="0">
                  <c:v>0.23333333333333334</c:v>
                </c:pt>
                <c:pt idx="1">
                  <c:v>0.24</c:v>
                </c:pt>
                <c:pt idx="2">
                  <c:v>0.255</c:v>
                </c:pt>
                <c:pt idx="3">
                  <c:v>0.27454545454545454</c:v>
                </c:pt>
                <c:pt idx="4">
                  <c:v>0.27500000000000002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Charts!$F$3</c:f>
              <c:strCache>
                <c:ptCount val="1"/>
                <c:pt idx="0">
                  <c:v>NP Margin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Charts!$A$4:$A$8</c:f>
              <c:strCache>
                <c:ptCount val="5"/>
                <c:pt idx="0">
                  <c:v>FY 2020</c:v>
                </c:pt>
                <c:pt idx="1">
                  <c:v>FY 2021</c:v>
                </c:pt>
                <c:pt idx="2">
                  <c:v>FY 2022</c:v>
                </c:pt>
                <c:pt idx="3">
                  <c:v>FY 2023</c:v>
                </c:pt>
                <c:pt idx="4">
                  <c:v>FY 2024</c:v>
                </c:pt>
              </c:strCache>
            </c:strRef>
          </c:cat>
          <c:val>
            <c:numRef>
              <c:f>Charts!$F$4:$F$8</c:f>
              <c:numCache>
                <c:formatCode>0.0%</c:formatCode>
                <c:ptCount val="5"/>
                <c:pt idx="0">
                  <c:v>0.17083333333333334</c:v>
                </c:pt>
                <c:pt idx="1">
                  <c:v>0.17605263157894738</c:v>
                </c:pt>
                <c:pt idx="2">
                  <c:v>0.18675</c:v>
                </c:pt>
                <c:pt idx="3">
                  <c:v>0.20147727272727273</c:v>
                </c:pt>
                <c:pt idx="4">
                  <c:v>0.201875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-485170992"/>
        <c:axId val="-485183504"/>
      </c:lineChart>
      <c:catAx>
        <c:axId val="-485170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485183504"/>
        <c:crosses val="autoZero"/>
        <c:auto val="1"/>
        <c:lblAlgn val="ctr"/>
        <c:lblOffset val="100"/>
        <c:noMultiLvlLbl val="0"/>
      </c:catAx>
      <c:valAx>
        <c:axId val="-485183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IN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Margin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-4851709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838201</xdr:colOff>
      <xdr:row>10</xdr:row>
      <xdr:rowOff>57150</xdr:rowOff>
    </xdr:from>
    <xdr:to>
      <xdr:col>1</xdr:col>
      <xdr:colOff>1066801</xdr:colOff>
      <xdr:row>12</xdr:row>
      <xdr:rowOff>171450</xdr:rowOff>
    </xdr:to>
    <xdr:sp macro="" textlink="">
      <xdr:nvSpPr>
        <xdr:cNvPr id="2" name="Left Brace 1"/>
        <xdr:cNvSpPr/>
      </xdr:nvSpPr>
      <xdr:spPr>
        <a:xfrm>
          <a:off x="1047751" y="2476500"/>
          <a:ext cx="228600" cy="571500"/>
        </a:xfrm>
        <a:prstGeom prst="leftBrace">
          <a:avLst>
            <a:gd name="adj1" fmla="val 62500"/>
            <a:gd name="adj2" fmla="val 50000"/>
          </a:avLst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104040</xdr:colOff>
      <xdr:row>24</xdr:row>
      <xdr:rowOff>168840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15</xdr:col>
      <xdr:colOff>145800</xdr:colOff>
      <xdr:row>24</xdr:row>
      <xdr:rowOff>168840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5</xdr:col>
      <xdr:colOff>104040</xdr:colOff>
      <xdr:row>44</xdr:row>
      <xdr:rowOff>168840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B1:F82"/>
  <sheetViews>
    <sheetView showGridLines="0" zoomScaleNormal="100" workbookViewId="0">
      <selection activeCell="L12" sqref="L12"/>
    </sheetView>
  </sheetViews>
  <sheetFormatPr defaultColWidth="8.6328125" defaultRowHeight="14.5" x14ac:dyDescent="0.35"/>
  <cols>
    <col min="1" max="1" width="3" customWidth="1"/>
    <col min="2" max="2" width="16" customWidth="1"/>
    <col min="3" max="3" width="23" customWidth="1"/>
    <col min="4" max="5" width="16" customWidth="1"/>
    <col min="6" max="6" width="20.54296875" customWidth="1"/>
  </cols>
  <sheetData>
    <row r="1" spans="2:6" ht="21.75" customHeight="1" x14ac:dyDescent="0.35">
      <c r="B1" s="15"/>
      <c r="C1" s="14" t="s">
        <v>297</v>
      </c>
      <c r="D1" s="14"/>
      <c r="E1" s="14"/>
      <c r="F1" s="14"/>
    </row>
    <row r="2" spans="2:6" ht="21.75" customHeight="1" x14ac:dyDescent="0.35">
      <c r="B2" s="16"/>
      <c r="C2" s="13" t="s">
        <v>0</v>
      </c>
      <c r="D2" s="13"/>
      <c r="E2" s="13"/>
      <c r="F2" s="13"/>
    </row>
    <row r="3" spans="2:6" ht="18" customHeight="1" x14ac:dyDescent="0.35"/>
    <row r="4" spans="2:6" ht="18" customHeight="1" x14ac:dyDescent="0.35">
      <c r="B4" s="17" t="s">
        <v>1</v>
      </c>
      <c r="C4" s="12" t="s">
        <v>2</v>
      </c>
      <c r="D4" s="12"/>
      <c r="E4" s="12"/>
      <c r="F4" s="12"/>
    </row>
    <row r="5" spans="2:6" ht="18" customHeight="1" x14ac:dyDescent="0.35">
      <c r="B5" s="17" t="s">
        <v>3</v>
      </c>
      <c r="C5" s="12" t="s">
        <v>4</v>
      </c>
      <c r="D5" s="12"/>
      <c r="E5" s="12"/>
      <c r="F5" s="12"/>
    </row>
    <row r="6" spans="2:6" ht="18" customHeight="1" x14ac:dyDescent="0.35">
      <c r="B6" s="17" t="s">
        <v>5</v>
      </c>
      <c r="C6" s="12" t="s">
        <v>6</v>
      </c>
      <c r="D6" s="12"/>
      <c r="E6" s="12"/>
      <c r="F6" s="12"/>
    </row>
    <row r="7" spans="2:6" ht="18" customHeight="1" x14ac:dyDescent="0.35"/>
    <row r="8" spans="2:6" ht="21.75" customHeight="1" x14ac:dyDescent="0.35">
      <c r="B8" s="16" t="s">
        <v>7</v>
      </c>
      <c r="C8" s="13" t="s">
        <v>8</v>
      </c>
      <c r="D8" s="13"/>
      <c r="E8" s="13"/>
      <c r="F8" s="13"/>
    </row>
    <row r="9" spans="2:6" ht="18" customHeight="1" x14ac:dyDescent="0.35">
      <c r="B9" s="18"/>
      <c r="C9" s="17" t="s">
        <v>9</v>
      </c>
      <c r="D9" s="11" t="s">
        <v>10</v>
      </c>
      <c r="E9" s="11"/>
      <c r="F9" s="11"/>
    </row>
    <row r="10" spans="2:6" ht="18" customHeight="1" x14ac:dyDescent="0.35">
      <c r="B10" s="19">
        <v>1</v>
      </c>
      <c r="C10" s="20" t="s">
        <v>11</v>
      </c>
      <c r="D10" s="10" t="s">
        <v>12</v>
      </c>
      <c r="E10" s="10"/>
      <c r="F10" s="10"/>
    </row>
    <row r="11" spans="2:6" ht="18" customHeight="1" x14ac:dyDescent="0.35">
      <c r="B11" s="18"/>
      <c r="C11" s="17" t="s">
        <v>13</v>
      </c>
      <c r="D11" s="11" t="s">
        <v>14</v>
      </c>
      <c r="E11" s="11"/>
      <c r="F11" s="11"/>
    </row>
    <row r="12" spans="2:6" ht="18" customHeight="1" x14ac:dyDescent="0.35">
      <c r="B12" s="19">
        <v>2</v>
      </c>
      <c r="C12" s="20" t="s">
        <v>15</v>
      </c>
      <c r="D12" s="10" t="s">
        <v>16</v>
      </c>
      <c r="E12" s="10"/>
      <c r="F12" s="10"/>
    </row>
    <row r="13" spans="2:6" ht="18" customHeight="1" x14ac:dyDescent="0.35">
      <c r="B13" s="18"/>
      <c r="C13" s="17" t="s">
        <v>17</v>
      </c>
      <c r="D13" s="11" t="s">
        <v>18</v>
      </c>
      <c r="E13" s="11"/>
      <c r="F13" s="11"/>
    </row>
    <row r="14" spans="2:6" ht="18" customHeight="1" x14ac:dyDescent="0.35">
      <c r="B14" s="19">
        <v>3</v>
      </c>
      <c r="C14" s="20" t="s">
        <v>19</v>
      </c>
      <c r="D14" s="10" t="s">
        <v>20</v>
      </c>
      <c r="E14" s="10"/>
      <c r="F14" s="10"/>
    </row>
    <row r="15" spans="2:6" ht="18" customHeight="1" x14ac:dyDescent="0.35">
      <c r="B15" s="18">
        <v>4</v>
      </c>
      <c r="C15" s="17" t="s">
        <v>21</v>
      </c>
      <c r="D15" s="11" t="s">
        <v>22</v>
      </c>
      <c r="E15" s="11"/>
      <c r="F15" s="11"/>
    </row>
    <row r="16" spans="2:6" ht="18" customHeight="1" x14ac:dyDescent="0.35">
      <c r="B16" s="19">
        <v>5</v>
      </c>
      <c r="C16" s="20" t="s">
        <v>23</v>
      </c>
      <c r="D16" s="10" t="s">
        <v>24</v>
      </c>
      <c r="E16" s="10"/>
      <c r="F16" s="10"/>
    </row>
    <row r="17" spans="2:6" ht="18" customHeight="1" x14ac:dyDescent="0.35">
      <c r="B17" s="18">
        <v>6</v>
      </c>
      <c r="C17" s="17" t="s">
        <v>25</v>
      </c>
      <c r="D17" s="11" t="s">
        <v>26</v>
      </c>
      <c r="E17" s="11"/>
      <c r="F17" s="11"/>
    </row>
    <row r="18" spans="2:6" ht="18" customHeight="1" x14ac:dyDescent="0.35">
      <c r="B18" s="19">
        <v>7</v>
      </c>
      <c r="C18" s="20" t="s">
        <v>27</v>
      </c>
      <c r="D18" s="10" t="s">
        <v>28</v>
      </c>
      <c r="E18" s="10"/>
      <c r="F18" s="10"/>
    </row>
    <row r="19" spans="2:6" ht="18" customHeight="1" x14ac:dyDescent="0.35">
      <c r="B19" s="19">
        <v>8</v>
      </c>
      <c r="C19" s="20" t="s">
        <v>29</v>
      </c>
      <c r="D19" s="10" t="s">
        <v>30</v>
      </c>
      <c r="E19" s="10"/>
      <c r="F19" s="10"/>
    </row>
    <row r="20" spans="2:6" ht="18" customHeight="1" x14ac:dyDescent="0.35">
      <c r="B20" s="19">
        <v>9</v>
      </c>
      <c r="C20" s="20" t="s">
        <v>31</v>
      </c>
      <c r="D20" s="10" t="s">
        <v>32</v>
      </c>
      <c r="E20" s="10"/>
      <c r="F20" s="10"/>
    </row>
    <row r="21" spans="2:6" ht="18" customHeight="1" x14ac:dyDescent="0.35">
      <c r="B21" s="19">
        <v>10</v>
      </c>
      <c r="C21" s="20" t="s">
        <v>33</v>
      </c>
      <c r="D21" s="10" t="s">
        <v>34</v>
      </c>
      <c r="E21" s="10"/>
      <c r="F21" s="10"/>
    </row>
    <row r="22" spans="2:6" ht="18" customHeight="1" x14ac:dyDescent="0.35">
      <c r="B22" s="19">
        <v>11</v>
      </c>
      <c r="C22" s="20" t="s">
        <v>35</v>
      </c>
      <c r="D22" s="10" t="s">
        <v>36</v>
      </c>
      <c r="E22" s="10"/>
      <c r="F22" s="10"/>
    </row>
    <row r="23" spans="2:6" ht="18" customHeight="1" x14ac:dyDescent="0.35">
      <c r="B23" s="18">
        <v>12</v>
      </c>
      <c r="C23" s="17" t="s">
        <v>37</v>
      </c>
      <c r="D23" s="11" t="s">
        <v>38</v>
      </c>
      <c r="E23" s="11"/>
      <c r="F23" s="11"/>
    </row>
    <row r="24" spans="2:6" ht="18" customHeight="1" x14ac:dyDescent="0.35">
      <c r="B24" s="19">
        <v>13</v>
      </c>
      <c r="C24" s="20" t="s">
        <v>39</v>
      </c>
      <c r="D24" s="10" t="s">
        <v>40</v>
      </c>
      <c r="E24" s="10"/>
      <c r="F24" s="10"/>
    </row>
    <row r="25" spans="2:6" ht="18" customHeight="1" x14ac:dyDescent="0.35">
      <c r="B25" s="18">
        <v>14</v>
      </c>
      <c r="C25" s="17" t="s">
        <v>41</v>
      </c>
      <c r="D25" s="11" t="s">
        <v>42</v>
      </c>
      <c r="E25" s="11"/>
      <c r="F25" s="11"/>
    </row>
    <row r="26" spans="2:6" ht="18" customHeight="1" x14ac:dyDescent="0.35"/>
    <row r="27" spans="2:6" ht="18" customHeight="1" x14ac:dyDescent="0.35">
      <c r="B27" s="9"/>
      <c r="C27" s="9"/>
      <c r="D27" s="9"/>
      <c r="E27" s="9"/>
      <c r="F27" s="9"/>
    </row>
    <row r="28" spans="2:6" ht="18" customHeight="1" x14ac:dyDescent="0.35"/>
    <row r="29" spans="2:6" ht="18" customHeight="1" x14ac:dyDescent="0.35"/>
    <row r="30" spans="2:6" ht="18" customHeight="1" x14ac:dyDescent="0.35"/>
    <row r="31" spans="2:6" ht="18" customHeight="1" x14ac:dyDescent="0.35"/>
    <row r="32" spans="2:6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</sheetData>
  <mergeCells count="24">
    <mergeCell ref="D23:F23"/>
    <mergeCell ref="D24:F24"/>
    <mergeCell ref="D25:F25"/>
    <mergeCell ref="B27:F27"/>
    <mergeCell ref="D18:F18"/>
    <mergeCell ref="D19:F19"/>
    <mergeCell ref="D20:F20"/>
    <mergeCell ref="D21:F21"/>
    <mergeCell ref="D22:F22"/>
    <mergeCell ref="D13:F13"/>
    <mergeCell ref="D14:F14"/>
    <mergeCell ref="D15:F15"/>
    <mergeCell ref="D16:F16"/>
    <mergeCell ref="D17:F17"/>
    <mergeCell ref="C8:F8"/>
    <mergeCell ref="D9:F9"/>
    <mergeCell ref="D10:F10"/>
    <mergeCell ref="D11:F11"/>
    <mergeCell ref="D12:F12"/>
    <mergeCell ref="C1:F1"/>
    <mergeCell ref="C2:F2"/>
    <mergeCell ref="C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G79"/>
  <sheetViews>
    <sheetView showGridLines="0" zoomScaleNormal="100" workbookViewId="0">
      <selection activeCell="H24" sqref="H24"/>
    </sheetView>
  </sheetViews>
  <sheetFormatPr defaultColWidth="8.6328125" defaultRowHeight="14.5" x14ac:dyDescent="0.35"/>
  <cols>
    <col min="1" max="1" width="28" customWidth="1"/>
    <col min="2" max="6" width="14" customWidth="1"/>
    <col min="7" max="7" width="22" customWidth="1"/>
  </cols>
  <sheetData>
    <row r="1" spans="1:7" ht="21.75" customHeight="1" x14ac:dyDescent="0.35">
      <c r="A1" s="14" t="s">
        <v>296</v>
      </c>
      <c r="B1" s="14"/>
      <c r="C1" s="14"/>
      <c r="D1" s="14"/>
      <c r="E1" s="14"/>
      <c r="F1" s="14"/>
      <c r="G1" s="14"/>
    </row>
    <row r="2" spans="1:7" ht="19.5" customHeight="1" x14ac:dyDescent="0.35">
      <c r="A2" s="8" t="s">
        <v>43</v>
      </c>
      <c r="B2" s="8"/>
      <c r="C2" s="8"/>
      <c r="D2" s="8"/>
      <c r="E2" s="8"/>
      <c r="F2" s="8"/>
      <c r="G2" s="8"/>
    </row>
    <row r="3" spans="1:7" ht="18" customHeight="1" x14ac:dyDescent="0.35">
      <c r="A3" s="21"/>
      <c r="B3" s="21" t="s">
        <v>44</v>
      </c>
      <c r="C3" s="21" t="s">
        <v>45</v>
      </c>
      <c r="D3" s="21" t="s">
        <v>46</v>
      </c>
      <c r="E3" s="21" t="s">
        <v>47</v>
      </c>
      <c r="F3" s="21" t="s">
        <v>48</v>
      </c>
    </row>
    <row r="4" spans="1:7" ht="18" customHeight="1" x14ac:dyDescent="0.35">
      <c r="A4" s="22" t="s">
        <v>49</v>
      </c>
      <c r="B4" s="23">
        <v>90000</v>
      </c>
      <c r="C4" s="23">
        <v>95000</v>
      </c>
      <c r="D4" s="23">
        <v>100000</v>
      </c>
      <c r="E4" s="23">
        <v>110000</v>
      </c>
      <c r="F4" s="23">
        <v>120000</v>
      </c>
    </row>
    <row r="5" spans="1:7" ht="18" customHeight="1" x14ac:dyDescent="0.35">
      <c r="A5" s="24" t="s">
        <v>50</v>
      </c>
      <c r="B5" s="25">
        <v>65000</v>
      </c>
      <c r="C5" s="25">
        <v>68000</v>
      </c>
      <c r="D5" s="25">
        <v>70000</v>
      </c>
      <c r="E5" s="25">
        <v>75000</v>
      </c>
      <c r="F5" s="25">
        <v>82000</v>
      </c>
    </row>
    <row r="6" spans="1:7" ht="18" customHeight="1" x14ac:dyDescent="0.35">
      <c r="A6" s="22" t="s">
        <v>51</v>
      </c>
      <c r="B6" s="23">
        <v>4000</v>
      </c>
      <c r="C6" s="23">
        <v>4200</v>
      </c>
      <c r="D6" s="23">
        <v>4500</v>
      </c>
      <c r="E6" s="23">
        <v>4800</v>
      </c>
      <c r="F6" s="23">
        <v>5000</v>
      </c>
    </row>
    <row r="7" spans="1:7" ht="18" customHeight="1" x14ac:dyDescent="0.35">
      <c r="A7" s="24" t="s">
        <v>52</v>
      </c>
      <c r="B7" s="25">
        <v>500</v>
      </c>
      <c r="C7" s="25">
        <v>500</v>
      </c>
      <c r="D7" s="25">
        <v>600</v>
      </c>
      <c r="E7" s="25">
        <v>650</v>
      </c>
      <c r="F7" s="25">
        <v>700</v>
      </c>
    </row>
    <row r="8" spans="1:7" ht="18" customHeight="1" x14ac:dyDescent="0.35">
      <c r="A8" s="22" t="s">
        <v>53</v>
      </c>
      <c r="B8" s="26">
        <v>0.25</v>
      </c>
      <c r="C8" s="26">
        <v>0.25</v>
      </c>
      <c r="D8" s="26">
        <v>0.25</v>
      </c>
      <c r="E8" s="26">
        <v>0.25</v>
      </c>
      <c r="F8" s="26">
        <v>0.25</v>
      </c>
    </row>
    <row r="9" spans="1:7" ht="19.5" customHeight="1" x14ac:dyDescent="0.35">
      <c r="A9" s="8" t="s">
        <v>54</v>
      </c>
      <c r="B9" s="8"/>
      <c r="C9" s="8"/>
      <c r="D9" s="8"/>
      <c r="E9" s="8"/>
      <c r="F9" s="8"/>
      <c r="G9" s="8"/>
    </row>
    <row r="10" spans="1:7" ht="18" customHeight="1" x14ac:dyDescent="0.35">
      <c r="A10" s="21"/>
      <c r="B10" s="21" t="s">
        <v>44</v>
      </c>
      <c r="C10" s="21" t="s">
        <v>45</v>
      </c>
      <c r="D10" s="21" t="s">
        <v>46</v>
      </c>
      <c r="E10" s="21" t="s">
        <v>47</v>
      </c>
      <c r="F10" s="21" t="s">
        <v>48</v>
      </c>
    </row>
    <row r="11" spans="1:7" ht="18" customHeight="1" x14ac:dyDescent="0.35">
      <c r="A11" s="27" t="s">
        <v>55</v>
      </c>
      <c r="B11" s="28">
        <f>B4-B5-B6</f>
        <v>21000</v>
      </c>
      <c r="C11" s="28">
        <f>C4-C5-C6</f>
        <v>22800</v>
      </c>
      <c r="D11" s="28">
        <f>D4-D5-D6</f>
        <v>25500</v>
      </c>
      <c r="E11" s="28">
        <f>E4-E5-E6</f>
        <v>30200</v>
      </c>
      <c r="F11" s="28">
        <f>F4-F5-F6</f>
        <v>33000</v>
      </c>
    </row>
    <row r="12" spans="1:7" ht="18" customHeight="1" x14ac:dyDescent="0.35">
      <c r="A12" s="27" t="s">
        <v>56</v>
      </c>
      <c r="B12" s="28">
        <f>B11+B6</f>
        <v>25000</v>
      </c>
      <c r="C12" s="28">
        <f>C11+C6</f>
        <v>27000</v>
      </c>
      <c r="D12" s="28">
        <f>D11+D6</f>
        <v>30000</v>
      </c>
      <c r="E12" s="28">
        <f>E11+E6</f>
        <v>35000</v>
      </c>
      <c r="F12" s="28">
        <f>F11+F6</f>
        <v>38000</v>
      </c>
    </row>
    <row r="13" spans="1:7" ht="18" customHeight="1" x14ac:dyDescent="0.35">
      <c r="A13" s="24" t="s">
        <v>57</v>
      </c>
      <c r="B13" s="29">
        <f>B11-B7</f>
        <v>20500</v>
      </c>
      <c r="C13" s="29">
        <f>C11-C7</f>
        <v>22300</v>
      </c>
      <c r="D13" s="29">
        <f>D11-D7</f>
        <v>24900</v>
      </c>
      <c r="E13" s="29">
        <f>E11-E7</f>
        <v>29550</v>
      </c>
      <c r="F13" s="29">
        <f>F11-F7</f>
        <v>32300</v>
      </c>
    </row>
    <row r="14" spans="1:7" ht="18" customHeight="1" x14ac:dyDescent="0.35">
      <c r="A14" s="22" t="s">
        <v>58</v>
      </c>
      <c r="B14" s="30">
        <f>B13*B8</f>
        <v>5125</v>
      </c>
      <c r="C14" s="30">
        <f>C13*C8</f>
        <v>5575</v>
      </c>
      <c r="D14" s="30">
        <f>D13*D8</f>
        <v>6225</v>
      </c>
      <c r="E14" s="30">
        <f>E13*E8</f>
        <v>7387.5</v>
      </c>
      <c r="F14" s="30">
        <f>F13*F8</f>
        <v>8075</v>
      </c>
    </row>
    <row r="15" spans="1:7" ht="18" customHeight="1" x14ac:dyDescent="0.35">
      <c r="A15" s="27" t="s">
        <v>59</v>
      </c>
      <c r="B15" s="28">
        <f>B13-B14</f>
        <v>15375</v>
      </c>
      <c r="C15" s="28">
        <f>C13-C14</f>
        <v>16725</v>
      </c>
      <c r="D15" s="28">
        <f>D13-D14</f>
        <v>18675</v>
      </c>
      <c r="E15" s="28">
        <f>E13-E14</f>
        <v>22162.5</v>
      </c>
      <c r="F15" s="28">
        <f>F13-F14</f>
        <v>24225</v>
      </c>
    </row>
    <row r="16" spans="1:7" ht="18" customHeight="1" x14ac:dyDescent="0.35"/>
    <row r="17" spans="1:7" ht="19.5" customHeight="1" x14ac:dyDescent="0.35">
      <c r="A17" s="8" t="s">
        <v>60</v>
      </c>
      <c r="B17" s="8"/>
      <c r="C17" s="8"/>
      <c r="D17" s="8"/>
      <c r="E17" s="8"/>
      <c r="F17" s="8"/>
      <c r="G17" s="8"/>
    </row>
    <row r="18" spans="1:7" ht="18" customHeight="1" x14ac:dyDescent="0.35">
      <c r="A18" s="21"/>
      <c r="B18" s="21" t="s">
        <v>44</v>
      </c>
      <c r="C18" s="21" t="s">
        <v>45</v>
      </c>
      <c r="D18" s="21" t="s">
        <v>46</v>
      </c>
      <c r="E18" s="21" t="s">
        <v>47</v>
      </c>
      <c r="F18" s="21" t="s">
        <v>48</v>
      </c>
    </row>
    <row r="19" spans="1:7" ht="18" customHeight="1" x14ac:dyDescent="0.35">
      <c r="A19" s="24" t="s">
        <v>61</v>
      </c>
      <c r="B19" s="25">
        <v>120000</v>
      </c>
      <c r="C19" s="25">
        <v>130000</v>
      </c>
      <c r="D19" s="25">
        <v>140000</v>
      </c>
      <c r="E19" s="25">
        <v>155000</v>
      </c>
      <c r="F19" s="25">
        <v>170000</v>
      </c>
    </row>
    <row r="20" spans="1:7" ht="18" customHeight="1" x14ac:dyDescent="0.35">
      <c r="A20" s="22" t="s">
        <v>62</v>
      </c>
      <c r="B20" s="23">
        <v>20000</v>
      </c>
      <c r="C20" s="23">
        <v>22000</v>
      </c>
      <c r="D20" s="23">
        <v>23000</v>
      </c>
      <c r="E20" s="23">
        <v>25000</v>
      </c>
      <c r="F20" s="23">
        <v>27000</v>
      </c>
    </row>
    <row r="21" spans="1:7" ht="18" customHeight="1" x14ac:dyDescent="0.35">
      <c r="A21" s="24" t="s">
        <v>63</v>
      </c>
      <c r="B21" s="25">
        <v>10000</v>
      </c>
      <c r="C21" s="25">
        <v>12000</v>
      </c>
      <c r="D21" s="25">
        <v>15000</v>
      </c>
      <c r="E21" s="25">
        <v>18000</v>
      </c>
      <c r="F21" s="25">
        <v>20000</v>
      </c>
    </row>
    <row r="22" spans="1:7" ht="18" customHeight="1" x14ac:dyDescent="0.35">
      <c r="A22" s="22" t="s">
        <v>64</v>
      </c>
      <c r="B22" s="23">
        <v>100000</v>
      </c>
      <c r="C22" s="23">
        <v>108000</v>
      </c>
      <c r="D22" s="23">
        <v>117000</v>
      </c>
      <c r="E22" s="23">
        <v>130000</v>
      </c>
      <c r="F22" s="23">
        <v>143000</v>
      </c>
    </row>
    <row r="23" spans="1:7" ht="18" customHeight="1" x14ac:dyDescent="0.35"/>
    <row r="24" spans="1:7" ht="19.5" customHeight="1" x14ac:dyDescent="0.35">
      <c r="A24" s="8" t="s">
        <v>65</v>
      </c>
      <c r="B24" s="8"/>
      <c r="C24" s="8"/>
      <c r="D24" s="8"/>
      <c r="E24" s="8"/>
      <c r="F24" s="8"/>
      <c r="G24" s="8"/>
    </row>
    <row r="25" spans="1:7" ht="18" customHeight="1" x14ac:dyDescent="0.35">
      <c r="A25" s="21" t="s">
        <v>66</v>
      </c>
      <c r="B25" s="21" t="s">
        <v>67</v>
      </c>
      <c r="C25" s="31"/>
    </row>
    <row r="26" spans="1:7" ht="18" customHeight="1" x14ac:dyDescent="0.35">
      <c r="A26" s="32" t="s">
        <v>68</v>
      </c>
      <c r="B26" s="33">
        <v>0.06</v>
      </c>
      <c r="C26" s="7"/>
      <c r="D26" s="7"/>
      <c r="E26" s="7"/>
      <c r="F26" s="7"/>
      <c r="G26" s="7"/>
    </row>
    <row r="27" spans="1:7" ht="18" customHeight="1" x14ac:dyDescent="0.35">
      <c r="A27" s="32" t="s">
        <v>69</v>
      </c>
      <c r="B27" s="33">
        <v>0.12</v>
      </c>
      <c r="C27" s="7"/>
      <c r="D27" s="7"/>
      <c r="E27" s="7"/>
      <c r="F27" s="7"/>
      <c r="G27" s="7"/>
    </row>
    <row r="28" spans="1:7" ht="18" customHeight="1" x14ac:dyDescent="0.35">
      <c r="A28" s="32" t="s">
        <v>70</v>
      </c>
      <c r="B28" s="34">
        <v>1.1000000000000001</v>
      </c>
      <c r="C28" s="7"/>
      <c r="D28" s="7"/>
      <c r="E28" s="7"/>
      <c r="F28" s="7"/>
      <c r="G28" s="7"/>
    </row>
    <row r="29" spans="1:7" ht="18" customHeight="1" x14ac:dyDescent="0.35">
      <c r="A29" s="32" t="s">
        <v>71</v>
      </c>
      <c r="B29" s="33">
        <v>0.08</v>
      </c>
      <c r="C29" s="7"/>
      <c r="D29" s="7"/>
      <c r="E29" s="7"/>
      <c r="F29" s="7"/>
      <c r="G29" s="7"/>
    </row>
    <row r="30" spans="1:7" ht="18" customHeight="1" x14ac:dyDescent="0.35">
      <c r="A30" s="32" t="s">
        <v>72</v>
      </c>
      <c r="B30" s="35">
        <v>420</v>
      </c>
      <c r="C30" s="7"/>
      <c r="D30" s="7"/>
      <c r="E30" s="7"/>
      <c r="F30" s="7"/>
      <c r="G30" s="7"/>
    </row>
    <row r="31" spans="1:7" ht="18" customHeight="1" x14ac:dyDescent="0.35">
      <c r="A31" s="32" t="s">
        <v>73</v>
      </c>
      <c r="B31" s="33">
        <v>0.05</v>
      </c>
      <c r="C31" s="7"/>
      <c r="D31" s="7"/>
      <c r="E31" s="7"/>
      <c r="F31" s="7"/>
      <c r="G31" s="7"/>
    </row>
    <row r="32" spans="1:7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11">
    <mergeCell ref="C31:G31"/>
    <mergeCell ref="C26:G26"/>
    <mergeCell ref="C27:G27"/>
    <mergeCell ref="C28:G28"/>
    <mergeCell ref="C29:G29"/>
    <mergeCell ref="C30:G30"/>
    <mergeCell ref="A1:G1"/>
    <mergeCell ref="A2:G2"/>
    <mergeCell ref="A9:G9"/>
    <mergeCell ref="A17:G17"/>
    <mergeCell ref="A24:G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B1:C79"/>
  <sheetViews>
    <sheetView showGridLines="0" topLeftCell="A12" zoomScaleNormal="100" workbookViewId="0">
      <selection activeCell="B1" sqref="B1:C1"/>
    </sheetView>
  </sheetViews>
  <sheetFormatPr defaultColWidth="8.6328125" defaultRowHeight="14.5" x14ac:dyDescent="0.35"/>
  <cols>
    <col min="1" max="1" width="3" customWidth="1"/>
    <col min="2" max="2" width="22" customWidth="1"/>
    <col min="3" max="3" width="80" customWidth="1"/>
  </cols>
  <sheetData>
    <row r="1" spans="2:3" ht="21.75" customHeight="1" x14ac:dyDescent="0.35">
      <c r="B1" s="14" t="s">
        <v>292</v>
      </c>
      <c r="C1" s="14"/>
    </row>
    <row r="2" spans="2:3" ht="18" customHeight="1" x14ac:dyDescent="0.35"/>
    <row r="3" spans="2:3" ht="19.5" customHeight="1" x14ac:dyDescent="0.35">
      <c r="B3" s="8" t="s">
        <v>74</v>
      </c>
      <c r="C3" s="8"/>
    </row>
    <row r="4" spans="2:3" ht="18" customHeight="1" x14ac:dyDescent="0.35">
      <c r="B4" s="21" t="s">
        <v>75</v>
      </c>
      <c r="C4" s="21" t="s">
        <v>76</v>
      </c>
    </row>
    <row r="5" spans="2:3" ht="54" customHeight="1" x14ac:dyDescent="0.35">
      <c r="B5" s="17" t="s">
        <v>77</v>
      </c>
      <c r="C5" s="36" t="s">
        <v>293</v>
      </c>
    </row>
    <row r="6" spans="2:3" ht="54" customHeight="1" x14ac:dyDescent="0.35">
      <c r="B6" s="20" t="s">
        <v>78</v>
      </c>
      <c r="C6" s="37" t="s">
        <v>79</v>
      </c>
    </row>
    <row r="7" spans="2:3" ht="54" customHeight="1" x14ac:dyDescent="0.35">
      <c r="B7" s="17" t="s">
        <v>80</v>
      </c>
      <c r="C7" s="36" t="s">
        <v>81</v>
      </c>
    </row>
    <row r="8" spans="2:3" ht="18" customHeight="1" x14ac:dyDescent="0.35"/>
    <row r="9" spans="2:3" ht="19.5" customHeight="1" x14ac:dyDescent="0.35">
      <c r="B9" s="8" t="s">
        <v>82</v>
      </c>
      <c r="C9" s="8"/>
    </row>
    <row r="10" spans="2:3" ht="18" customHeight="1" x14ac:dyDescent="0.35">
      <c r="B10" s="21" t="s">
        <v>75</v>
      </c>
      <c r="C10" s="21" t="s">
        <v>76</v>
      </c>
    </row>
    <row r="11" spans="2:3" ht="54" customHeight="1" x14ac:dyDescent="0.35">
      <c r="B11" s="17" t="s">
        <v>83</v>
      </c>
      <c r="C11" s="36" t="s">
        <v>84</v>
      </c>
    </row>
    <row r="12" spans="2:3" ht="54" customHeight="1" x14ac:dyDescent="0.35">
      <c r="B12" s="20" t="s">
        <v>85</v>
      </c>
      <c r="C12" s="37" t="s">
        <v>86</v>
      </c>
    </row>
    <row r="13" spans="2:3" ht="54" customHeight="1" x14ac:dyDescent="0.35">
      <c r="B13" s="17" t="s">
        <v>87</v>
      </c>
      <c r="C13" s="36" t="s">
        <v>294</v>
      </c>
    </row>
    <row r="14" spans="2:3" ht="54" customHeight="1" x14ac:dyDescent="0.35">
      <c r="B14" s="20" t="s">
        <v>88</v>
      </c>
      <c r="C14" s="37" t="s">
        <v>295</v>
      </c>
    </row>
    <row r="15" spans="2:3" ht="18" customHeight="1" x14ac:dyDescent="0.35"/>
    <row r="16" spans="2:3" ht="19.5" customHeight="1" x14ac:dyDescent="0.35">
      <c r="B16" s="8" t="s">
        <v>89</v>
      </c>
      <c r="C16" s="8"/>
    </row>
    <row r="17" spans="2:3" ht="18" customHeight="1" x14ac:dyDescent="0.35">
      <c r="B17" s="21" t="s">
        <v>90</v>
      </c>
      <c r="C17" s="21" t="s">
        <v>76</v>
      </c>
    </row>
    <row r="18" spans="2:3" ht="48" customHeight="1" x14ac:dyDescent="0.35">
      <c r="B18" s="17" t="s">
        <v>91</v>
      </c>
      <c r="C18" s="36" t="s">
        <v>92</v>
      </c>
    </row>
    <row r="19" spans="2:3" ht="48" customHeight="1" x14ac:dyDescent="0.35">
      <c r="B19" s="20" t="s">
        <v>93</v>
      </c>
      <c r="C19" s="37" t="s">
        <v>94</v>
      </c>
    </row>
    <row r="20" spans="2:3" ht="48" customHeight="1" x14ac:dyDescent="0.35">
      <c r="B20" s="17" t="s">
        <v>95</v>
      </c>
      <c r="C20" s="36" t="s">
        <v>96</v>
      </c>
    </row>
    <row r="21" spans="2:3" ht="48" customHeight="1" x14ac:dyDescent="0.35">
      <c r="B21" s="20" t="s">
        <v>97</v>
      </c>
      <c r="C21" s="37" t="s">
        <v>98</v>
      </c>
    </row>
    <row r="22" spans="2:3" ht="18" customHeight="1" x14ac:dyDescent="0.35"/>
    <row r="23" spans="2:3" ht="18" customHeight="1" x14ac:dyDescent="0.35"/>
    <row r="24" spans="2:3" ht="18" customHeight="1" x14ac:dyDescent="0.35"/>
    <row r="25" spans="2:3" ht="18" customHeight="1" x14ac:dyDescent="0.35"/>
    <row r="26" spans="2:3" ht="18" customHeight="1" x14ac:dyDescent="0.35"/>
    <row r="27" spans="2:3" ht="18" customHeight="1" x14ac:dyDescent="0.35"/>
    <row r="28" spans="2:3" ht="18" customHeight="1" x14ac:dyDescent="0.35"/>
    <row r="29" spans="2:3" ht="18" customHeight="1" x14ac:dyDescent="0.35"/>
    <row r="30" spans="2:3" ht="18" customHeight="1" x14ac:dyDescent="0.35"/>
    <row r="31" spans="2:3" ht="18" customHeight="1" x14ac:dyDescent="0.35"/>
    <row r="32" spans="2:3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4">
    <mergeCell ref="B1:C1"/>
    <mergeCell ref="B3:C3"/>
    <mergeCell ref="B9:C9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K79"/>
  <sheetViews>
    <sheetView showGridLines="0" topLeftCell="A8" zoomScaleNormal="100" workbookViewId="0">
      <selection activeCell="E22" sqref="E22"/>
    </sheetView>
  </sheetViews>
  <sheetFormatPr defaultColWidth="8.6328125" defaultRowHeight="14.5" x14ac:dyDescent="0.35"/>
  <cols>
    <col min="1" max="1" width="26" customWidth="1"/>
    <col min="2" max="12" width="13" customWidth="1"/>
  </cols>
  <sheetData>
    <row r="1" spans="1:11" ht="21.75" customHeight="1" x14ac:dyDescent="0.35">
      <c r="A1" s="14" t="s">
        <v>258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9.5" customHeight="1" x14ac:dyDescent="0.35">
      <c r="A2" s="8" t="s">
        <v>99</v>
      </c>
      <c r="B2" s="8"/>
      <c r="C2" s="8"/>
      <c r="D2" s="8"/>
      <c r="E2" s="8"/>
      <c r="F2" s="8"/>
    </row>
    <row r="3" spans="1:11" ht="18" customHeight="1" x14ac:dyDescent="0.35">
      <c r="A3" s="21" t="s">
        <v>100</v>
      </c>
      <c r="B3" s="21" t="s">
        <v>44</v>
      </c>
      <c r="C3" s="21" t="s">
        <v>45</v>
      </c>
      <c r="D3" s="21" t="s">
        <v>46</v>
      </c>
      <c r="E3" s="21" t="s">
        <v>47</v>
      </c>
      <c r="F3" s="21" t="s">
        <v>48</v>
      </c>
    </row>
    <row r="4" spans="1:11" ht="18" customHeight="1" x14ac:dyDescent="0.35">
      <c r="A4" s="27" t="s">
        <v>49</v>
      </c>
      <c r="B4" s="38">
        <f>'Raw Data'!B4/'Raw Data'!B4</f>
        <v>1</v>
      </c>
      <c r="C4" s="38">
        <f>'Raw Data'!C4/'Raw Data'!C4</f>
        <v>1</v>
      </c>
      <c r="D4" s="38">
        <f>'Raw Data'!D4/'Raw Data'!D4</f>
        <v>1</v>
      </c>
      <c r="E4" s="38">
        <f>'Raw Data'!E4/'Raw Data'!E4</f>
        <v>1</v>
      </c>
      <c r="F4" s="38">
        <f>'Raw Data'!F4/'Raw Data'!F4</f>
        <v>1</v>
      </c>
    </row>
    <row r="5" spans="1:11" ht="18" customHeight="1" x14ac:dyDescent="0.35">
      <c r="A5" s="24" t="s">
        <v>101</v>
      </c>
      <c r="B5" s="39">
        <f>'Raw Data'!B5/'Raw Data'!B4</f>
        <v>0.72222222222222221</v>
      </c>
      <c r="C5" s="39">
        <f>'Raw Data'!C5/'Raw Data'!C4</f>
        <v>0.71578947368421053</v>
      </c>
      <c r="D5" s="39">
        <f>'Raw Data'!D5/'Raw Data'!D4</f>
        <v>0.7</v>
      </c>
      <c r="E5" s="39">
        <f>'Raw Data'!E5/'Raw Data'!E4</f>
        <v>0.68181818181818177</v>
      </c>
      <c r="F5" s="39">
        <f>'Raw Data'!F5/'Raw Data'!F4</f>
        <v>0.68333333333333335</v>
      </c>
    </row>
    <row r="6" spans="1:11" ht="18" customHeight="1" x14ac:dyDescent="0.35">
      <c r="A6" s="22" t="s">
        <v>102</v>
      </c>
      <c r="B6" s="40">
        <f>'Raw Data'!B6/'Raw Data'!B4</f>
        <v>4.4444444444444446E-2</v>
      </c>
      <c r="C6" s="40">
        <f>'Raw Data'!C6/'Raw Data'!C4</f>
        <v>4.4210526315789471E-2</v>
      </c>
      <c r="D6" s="40">
        <f>'Raw Data'!D6/'Raw Data'!D4</f>
        <v>4.4999999999999998E-2</v>
      </c>
      <c r="E6" s="40">
        <f>'Raw Data'!E6/'Raw Data'!E4</f>
        <v>4.363636363636364E-2</v>
      </c>
      <c r="F6" s="40">
        <f>'Raw Data'!F6/'Raw Data'!F4</f>
        <v>4.1666666666666664E-2</v>
      </c>
    </row>
    <row r="7" spans="1:11" ht="18" customHeight="1" x14ac:dyDescent="0.35">
      <c r="A7" s="27" t="s">
        <v>55</v>
      </c>
      <c r="B7" s="38">
        <f>'Raw Data'!B11/'Raw Data'!B4</f>
        <v>0.23333333333333334</v>
      </c>
      <c r="C7" s="38">
        <f>'Raw Data'!C11/'Raw Data'!C4</f>
        <v>0.24</v>
      </c>
      <c r="D7" s="38">
        <f>'Raw Data'!D11/'Raw Data'!D4</f>
        <v>0.255</v>
      </c>
      <c r="E7" s="38">
        <f>'Raw Data'!E11/'Raw Data'!E4</f>
        <v>0.27454545454545454</v>
      </c>
      <c r="F7" s="38">
        <f>'Raw Data'!F11/'Raw Data'!F4</f>
        <v>0.27500000000000002</v>
      </c>
    </row>
    <row r="8" spans="1:11" ht="18" customHeight="1" x14ac:dyDescent="0.35">
      <c r="A8" s="22" t="s">
        <v>103</v>
      </c>
      <c r="B8" s="40">
        <f>'Raw Data'!B7/'Raw Data'!B4</f>
        <v>5.5555555555555558E-3</v>
      </c>
      <c r="C8" s="40">
        <f>'Raw Data'!C7/'Raw Data'!C4</f>
        <v>5.263157894736842E-3</v>
      </c>
      <c r="D8" s="40">
        <f>'Raw Data'!D7/'Raw Data'!D4</f>
        <v>6.0000000000000001E-3</v>
      </c>
      <c r="E8" s="40">
        <f>'Raw Data'!E7/'Raw Data'!E4</f>
        <v>5.909090909090909E-3</v>
      </c>
      <c r="F8" s="40">
        <f>'Raw Data'!F7/'Raw Data'!F4</f>
        <v>5.8333333333333336E-3</v>
      </c>
    </row>
    <row r="9" spans="1:11" ht="18" customHeight="1" x14ac:dyDescent="0.35">
      <c r="A9" s="24" t="s">
        <v>104</v>
      </c>
      <c r="B9" s="39">
        <f>'Raw Data'!B14/'Raw Data'!B4</f>
        <v>5.6944444444444443E-2</v>
      </c>
      <c r="C9" s="39">
        <f>'Raw Data'!C14/'Raw Data'!C4</f>
        <v>5.868421052631579E-2</v>
      </c>
      <c r="D9" s="39">
        <f>'Raw Data'!D14/'Raw Data'!D4</f>
        <v>6.225E-2</v>
      </c>
      <c r="E9" s="39">
        <f>'Raw Data'!E14/'Raw Data'!E4</f>
        <v>6.7159090909090904E-2</v>
      </c>
      <c r="F9" s="39">
        <f>'Raw Data'!F14/'Raw Data'!F4</f>
        <v>6.7291666666666666E-2</v>
      </c>
    </row>
    <row r="10" spans="1:11" ht="18" customHeight="1" x14ac:dyDescent="0.35">
      <c r="A10" s="27" t="s">
        <v>59</v>
      </c>
      <c r="B10" s="38">
        <f>'Raw Data'!B15/'Raw Data'!B4</f>
        <v>0.17083333333333334</v>
      </c>
      <c r="C10" s="38">
        <f>'Raw Data'!C15/'Raw Data'!C4</f>
        <v>0.17605263157894738</v>
      </c>
      <c r="D10" s="38">
        <f>'Raw Data'!D15/'Raw Data'!D4</f>
        <v>0.18675</v>
      </c>
      <c r="E10" s="38">
        <f>'Raw Data'!E15/'Raw Data'!E4</f>
        <v>0.20147727272727273</v>
      </c>
      <c r="F10" s="38">
        <f>'Raw Data'!F15/'Raw Data'!F4</f>
        <v>0.201875</v>
      </c>
    </row>
    <row r="11" spans="1:11" ht="18" customHeight="1" x14ac:dyDescent="0.35"/>
    <row r="12" spans="1:11" ht="19.5" customHeight="1" x14ac:dyDescent="0.35">
      <c r="A12" s="8" t="s">
        <v>105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18" customHeight="1" x14ac:dyDescent="0.35">
      <c r="A13" s="21" t="s">
        <v>100</v>
      </c>
      <c r="B13" s="21" t="s">
        <v>106</v>
      </c>
      <c r="C13" s="21" t="s">
        <v>107</v>
      </c>
      <c r="D13" s="21" t="s">
        <v>108</v>
      </c>
      <c r="E13" s="21" t="s">
        <v>109</v>
      </c>
      <c r="F13" s="21" t="s">
        <v>108</v>
      </c>
      <c r="G13" s="21" t="s">
        <v>110</v>
      </c>
      <c r="H13" s="21" t="s">
        <v>108</v>
      </c>
      <c r="I13" s="21" t="s">
        <v>111</v>
      </c>
      <c r="J13" s="21" t="s">
        <v>108</v>
      </c>
      <c r="K13" s="21" t="s">
        <v>112</v>
      </c>
    </row>
    <row r="14" spans="1:11" ht="18" customHeight="1" x14ac:dyDescent="0.35">
      <c r="A14" s="27" t="s">
        <v>49</v>
      </c>
      <c r="B14" s="118">
        <f>'Raw Data'!B4</f>
        <v>90000</v>
      </c>
      <c r="C14" s="118">
        <f>'Raw Data'!C4</f>
        <v>95000</v>
      </c>
      <c r="D14" s="119">
        <f>(C14-B14)/B14</f>
        <v>5.5555555555555552E-2</v>
      </c>
      <c r="E14" s="118">
        <f>'Raw Data'!D4</f>
        <v>100000</v>
      </c>
      <c r="F14" s="119">
        <f t="shared" ref="F14:F19" si="0">(E14-C14)/C14</f>
        <v>5.2631578947368418E-2</v>
      </c>
      <c r="G14" s="118">
        <f>'Raw Data'!E4</f>
        <v>110000</v>
      </c>
      <c r="H14" s="119">
        <f t="shared" ref="H14:H19" si="1">(G14-E14)/E14</f>
        <v>0.1</v>
      </c>
      <c r="I14" s="118">
        <f>'Raw Data'!F4</f>
        <v>120000</v>
      </c>
      <c r="J14" s="119">
        <f t="shared" ref="J14:J19" si="2">(I14-G14)/G14</f>
        <v>9.0909090909090912E-2</v>
      </c>
      <c r="K14" s="42">
        <f t="shared" ref="K14:K19" si="3">(I14/B14)^(1/4)-1</f>
        <v>7.4569931823541991E-2</v>
      </c>
    </row>
    <row r="15" spans="1:11" ht="18" customHeight="1" x14ac:dyDescent="0.35">
      <c r="A15" s="24" t="s">
        <v>50</v>
      </c>
      <c r="B15" s="120">
        <f>'Raw Data'!B5</f>
        <v>65000</v>
      </c>
      <c r="C15" s="120">
        <f>'Raw Data'!C5</f>
        <v>68000</v>
      </c>
      <c r="D15" s="121">
        <f t="shared" ref="D14:D19" si="4">(C15-B15)/B15</f>
        <v>4.6153846153846156E-2</v>
      </c>
      <c r="E15" s="120">
        <f>'Raw Data'!D5</f>
        <v>70000</v>
      </c>
      <c r="F15" s="121">
        <f t="shared" si="0"/>
        <v>2.9411764705882353E-2</v>
      </c>
      <c r="G15" s="120">
        <f>'Raw Data'!E5</f>
        <v>75000</v>
      </c>
      <c r="H15" s="121">
        <f t="shared" si="1"/>
        <v>7.1428571428571425E-2</v>
      </c>
      <c r="I15" s="120">
        <f>'Raw Data'!F5</f>
        <v>82000</v>
      </c>
      <c r="J15" s="121">
        <f t="shared" si="2"/>
        <v>9.3333333333333338E-2</v>
      </c>
      <c r="K15" s="42">
        <f t="shared" si="3"/>
        <v>5.9802949709018893E-2</v>
      </c>
    </row>
    <row r="16" spans="1:11" ht="18" customHeight="1" x14ac:dyDescent="0.35">
      <c r="A16" s="22" t="s">
        <v>51</v>
      </c>
      <c r="B16" s="122">
        <f>'Raw Data'!B6</f>
        <v>4000</v>
      </c>
      <c r="C16" s="122">
        <f>'Raw Data'!C6</f>
        <v>4200</v>
      </c>
      <c r="D16" s="123">
        <f t="shared" si="4"/>
        <v>0.05</v>
      </c>
      <c r="E16" s="122">
        <f>'Raw Data'!D6</f>
        <v>4500</v>
      </c>
      <c r="F16" s="123">
        <f t="shared" si="0"/>
        <v>7.1428571428571425E-2</v>
      </c>
      <c r="G16" s="122">
        <f>'Raw Data'!E6</f>
        <v>4800</v>
      </c>
      <c r="H16" s="123">
        <f t="shared" si="1"/>
        <v>6.6666666666666666E-2</v>
      </c>
      <c r="I16" s="122">
        <f>'Raw Data'!F6</f>
        <v>5000</v>
      </c>
      <c r="J16" s="123">
        <f t="shared" si="2"/>
        <v>4.1666666666666664E-2</v>
      </c>
      <c r="K16" s="42">
        <f t="shared" si="3"/>
        <v>5.7371263440564091E-2</v>
      </c>
    </row>
    <row r="17" spans="1:11" ht="18" customHeight="1" x14ac:dyDescent="0.35">
      <c r="A17" s="27" t="s">
        <v>55</v>
      </c>
      <c r="B17" s="118">
        <f>'Raw Data'!B11</f>
        <v>21000</v>
      </c>
      <c r="C17" s="118">
        <f>'Raw Data'!C11</f>
        <v>22800</v>
      </c>
      <c r="D17" s="119">
        <f t="shared" si="4"/>
        <v>8.5714285714285715E-2</v>
      </c>
      <c r="E17" s="118">
        <f>'Raw Data'!D11</f>
        <v>25500</v>
      </c>
      <c r="F17" s="119">
        <f t="shared" si="0"/>
        <v>0.11842105263157894</v>
      </c>
      <c r="G17" s="118">
        <f>'Raw Data'!E11</f>
        <v>30200</v>
      </c>
      <c r="H17" s="119">
        <f t="shared" si="1"/>
        <v>0.18431372549019609</v>
      </c>
      <c r="I17" s="118">
        <f>'Raw Data'!F11</f>
        <v>33000</v>
      </c>
      <c r="J17" s="119">
        <f t="shared" si="2"/>
        <v>9.2715231788079472E-2</v>
      </c>
      <c r="K17" s="42">
        <f t="shared" si="3"/>
        <v>0.11962776897325011</v>
      </c>
    </row>
    <row r="18" spans="1:11" ht="18" customHeight="1" x14ac:dyDescent="0.35">
      <c r="A18" s="22" t="s">
        <v>113</v>
      </c>
      <c r="B18" s="122">
        <f>'Raw Data'!B7</f>
        <v>500</v>
      </c>
      <c r="C18" s="122">
        <f>'Raw Data'!C7</f>
        <v>500</v>
      </c>
      <c r="D18" s="123">
        <f t="shared" si="4"/>
        <v>0</v>
      </c>
      <c r="E18" s="122">
        <f>'Raw Data'!D7</f>
        <v>600</v>
      </c>
      <c r="F18" s="123">
        <f t="shared" si="0"/>
        <v>0.2</v>
      </c>
      <c r="G18" s="122">
        <f>'Raw Data'!E7</f>
        <v>650</v>
      </c>
      <c r="H18" s="123">
        <f t="shared" si="1"/>
        <v>8.3333333333333329E-2</v>
      </c>
      <c r="I18" s="122">
        <f>'Raw Data'!F7</f>
        <v>700</v>
      </c>
      <c r="J18" s="123">
        <f t="shared" si="2"/>
        <v>7.6923076923076927E-2</v>
      </c>
      <c r="K18" s="42">
        <f t="shared" si="3"/>
        <v>8.7757305937277152E-2</v>
      </c>
    </row>
    <row r="19" spans="1:11" ht="18" customHeight="1" x14ac:dyDescent="0.35">
      <c r="A19" s="27" t="s">
        <v>59</v>
      </c>
      <c r="B19" s="118">
        <f>'Raw Data'!B15</f>
        <v>15375</v>
      </c>
      <c r="C19" s="118">
        <f>'Raw Data'!C15</f>
        <v>16725</v>
      </c>
      <c r="D19" s="119">
        <f t="shared" si="4"/>
        <v>8.7804878048780483E-2</v>
      </c>
      <c r="E19" s="118">
        <f>'Raw Data'!D15</f>
        <v>18675</v>
      </c>
      <c r="F19" s="119">
        <f t="shared" si="0"/>
        <v>0.11659192825112108</v>
      </c>
      <c r="G19" s="118">
        <f>'Raw Data'!E15</f>
        <v>22162.5</v>
      </c>
      <c r="H19" s="119">
        <f t="shared" si="1"/>
        <v>0.18674698795180722</v>
      </c>
      <c r="I19" s="118">
        <f>'Raw Data'!F15</f>
        <v>24225</v>
      </c>
      <c r="J19" s="119">
        <f t="shared" si="2"/>
        <v>9.3062605752961089E-2</v>
      </c>
      <c r="K19" s="42">
        <f t="shared" si="3"/>
        <v>0.1203717904950985</v>
      </c>
    </row>
    <row r="20" spans="1:11" ht="18" customHeight="1" x14ac:dyDescent="0.35"/>
    <row r="21" spans="1:11" ht="18" customHeight="1" x14ac:dyDescent="0.35"/>
    <row r="22" spans="1:11" ht="18" customHeight="1" x14ac:dyDescent="0.35"/>
    <row r="23" spans="1:11" ht="18" customHeight="1" x14ac:dyDescent="0.35"/>
    <row r="24" spans="1:11" ht="18" customHeight="1" x14ac:dyDescent="0.35"/>
    <row r="25" spans="1:11" ht="18" customHeight="1" x14ac:dyDescent="0.35"/>
    <row r="26" spans="1:11" ht="18" customHeight="1" x14ac:dyDescent="0.35"/>
    <row r="27" spans="1:11" ht="18" customHeight="1" x14ac:dyDescent="0.35"/>
    <row r="28" spans="1:11" ht="18" customHeight="1" x14ac:dyDescent="0.35"/>
    <row r="29" spans="1:11" ht="18" customHeight="1" x14ac:dyDescent="0.35"/>
    <row r="30" spans="1:11" ht="18" customHeight="1" x14ac:dyDescent="0.35"/>
    <row r="31" spans="1:11" ht="18" customHeight="1" x14ac:dyDescent="0.35"/>
    <row r="32" spans="1:11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3">
    <mergeCell ref="A1:K1"/>
    <mergeCell ref="A2:F2"/>
    <mergeCell ref="A12:K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F79"/>
  <sheetViews>
    <sheetView showGridLines="0" zoomScaleNormal="100" workbookViewId="0">
      <selection activeCell="G5" sqref="G5"/>
    </sheetView>
  </sheetViews>
  <sheetFormatPr defaultColWidth="8.6328125" defaultRowHeight="14.5" x14ac:dyDescent="0.35"/>
  <cols>
    <col min="1" max="1" width="28" customWidth="1"/>
    <col min="2" max="6" width="14" customWidth="1"/>
    <col min="7" max="7" width="40.81640625" customWidth="1"/>
  </cols>
  <sheetData>
    <row r="1" spans="1:6" ht="21.75" customHeight="1" x14ac:dyDescent="0.35">
      <c r="A1" s="14" t="s">
        <v>114</v>
      </c>
      <c r="B1" s="14"/>
      <c r="C1" s="14"/>
      <c r="D1" s="14"/>
      <c r="E1" s="14"/>
      <c r="F1" s="14"/>
    </row>
    <row r="2" spans="1:6" ht="18" customHeight="1" x14ac:dyDescent="0.35">
      <c r="A2" s="21" t="s">
        <v>115</v>
      </c>
      <c r="B2" s="21" t="s">
        <v>44</v>
      </c>
      <c r="C2" s="21" t="s">
        <v>45</v>
      </c>
      <c r="D2" s="21" t="s">
        <v>46</v>
      </c>
      <c r="E2" s="21" t="s">
        <v>47</v>
      </c>
      <c r="F2" s="21" t="s">
        <v>48</v>
      </c>
    </row>
    <row r="3" spans="1:6" ht="18" customHeight="1" x14ac:dyDescent="0.35">
      <c r="A3" s="6" t="s">
        <v>116</v>
      </c>
      <c r="B3" s="6"/>
      <c r="C3" s="6"/>
      <c r="D3" s="6"/>
      <c r="E3" s="6"/>
      <c r="F3" s="6"/>
    </row>
    <row r="4" spans="1:6" ht="18" customHeight="1" x14ac:dyDescent="0.35">
      <c r="A4" s="22" t="s">
        <v>117</v>
      </c>
      <c r="B4" s="46">
        <f>'Raw Data'!B21/'Raw Data'!B20</f>
        <v>0.5</v>
      </c>
      <c r="C4" s="46">
        <f>'Raw Data'!C21/'Raw Data'!C20</f>
        <v>0.54545454545454541</v>
      </c>
      <c r="D4" s="46">
        <f>'Raw Data'!D21/'Raw Data'!D20</f>
        <v>0.65217391304347827</v>
      </c>
      <c r="E4" s="46">
        <f>'Raw Data'!E21/'Raw Data'!E20</f>
        <v>0.72</v>
      </c>
      <c r="F4" s="46">
        <f>'Raw Data'!F21/'Raw Data'!F20</f>
        <v>0.7407407407407407</v>
      </c>
    </row>
    <row r="5" spans="1:6" ht="18" customHeight="1" x14ac:dyDescent="0.35">
      <c r="A5" s="24" t="s">
        <v>118</v>
      </c>
      <c r="B5" s="47">
        <f>'Raw Data'!B21/'Raw Data'!B20</f>
        <v>0.5</v>
      </c>
      <c r="C5" s="47">
        <f>'Raw Data'!C21/'Raw Data'!C20</f>
        <v>0.54545454545454541</v>
      </c>
      <c r="D5" s="47">
        <f>'Raw Data'!D21/'Raw Data'!D20</f>
        <v>0.65217391304347827</v>
      </c>
      <c r="E5" s="47">
        <f>'Raw Data'!E21/'Raw Data'!E20</f>
        <v>0.72</v>
      </c>
      <c r="F5" s="47">
        <f>'Raw Data'!F21/'Raw Data'!F20</f>
        <v>0.7407407407407407</v>
      </c>
    </row>
    <row r="6" spans="1:6" ht="18" customHeight="1" x14ac:dyDescent="0.35">
      <c r="A6" s="6" t="s">
        <v>119</v>
      </c>
      <c r="B6" s="6"/>
      <c r="C6" s="6"/>
      <c r="D6" s="6"/>
      <c r="E6" s="6"/>
      <c r="F6" s="6"/>
    </row>
    <row r="7" spans="1:6" ht="18" customHeight="1" x14ac:dyDescent="0.35">
      <c r="A7" s="24" t="s">
        <v>120</v>
      </c>
      <c r="B7" s="39">
        <f>'Raw Data'!B11/'Raw Data'!B4</f>
        <v>0.23333333333333334</v>
      </c>
      <c r="C7" s="39">
        <f>'Raw Data'!C11/'Raw Data'!C4</f>
        <v>0.24</v>
      </c>
      <c r="D7" s="39">
        <f>'Raw Data'!D11/'Raw Data'!D4</f>
        <v>0.255</v>
      </c>
      <c r="E7" s="39">
        <f>'Raw Data'!E11/'Raw Data'!E4</f>
        <v>0.27454545454545454</v>
      </c>
      <c r="F7" s="39">
        <f>'Raw Data'!F11/'Raw Data'!F4</f>
        <v>0.27500000000000002</v>
      </c>
    </row>
    <row r="8" spans="1:6" ht="18" customHeight="1" x14ac:dyDescent="0.35">
      <c r="A8" s="22" t="s">
        <v>121</v>
      </c>
      <c r="B8" s="40">
        <f>'Raw Data'!B15/'Raw Data'!B4</f>
        <v>0.17083333333333334</v>
      </c>
      <c r="C8" s="40">
        <f>'Raw Data'!C15/'Raw Data'!C4</f>
        <v>0.17605263157894738</v>
      </c>
      <c r="D8" s="40">
        <f>'Raw Data'!D15/'Raw Data'!D4</f>
        <v>0.18675</v>
      </c>
      <c r="E8" s="40">
        <f>'Raw Data'!E15/'Raw Data'!E4</f>
        <v>0.20147727272727273</v>
      </c>
      <c r="F8" s="40">
        <f>'Raw Data'!F15/'Raw Data'!F4</f>
        <v>0.201875</v>
      </c>
    </row>
    <row r="9" spans="1:6" ht="18" customHeight="1" x14ac:dyDescent="0.35">
      <c r="A9" s="24" t="s">
        <v>122</v>
      </c>
      <c r="B9" s="39">
        <f>'Raw Data'!B15/'Raw Data'!B22</f>
        <v>0.15375</v>
      </c>
      <c r="C9" s="39">
        <f>'Raw Data'!C15/'Raw Data'!C22</f>
        <v>0.15486111111111112</v>
      </c>
      <c r="D9" s="39">
        <f>'Raw Data'!D15/'Raw Data'!D22</f>
        <v>0.1596153846153846</v>
      </c>
      <c r="E9" s="39">
        <f>'Raw Data'!E15/'Raw Data'!E22</f>
        <v>0.17048076923076924</v>
      </c>
      <c r="F9" s="39">
        <f>'Raw Data'!F15/'Raw Data'!F22</f>
        <v>0.16940559440559441</v>
      </c>
    </row>
    <row r="10" spans="1:6" ht="18" customHeight="1" x14ac:dyDescent="0.35">
      <c r="A10" s="6" t="s">
        <v>123</v>
      </c>
      <c r="B10" s="6"/>
      <c r="C10" s="6"/>
      <c r="D10" s="6"/>
      <c r="E10" s="6"/>
      <c r="F10" s="6"/>
    </row>
    <row r="11" spans="1:6" ht="18" customHeight="1" x14ac:dyDescent="0.35">
      <c r="A11" s="24" t="s">
        <v>124</v>
      </c>
      <c r="B11" s="47">
        <f>'Raw Data'!B20/'Raw Data'!B22</f>
        <v>0.2</v>
      </c>
      <c r="C11" s="47">
        <f>'Raw Data'!C20/'Raw Data'!C22</f>
        <v>0.20370370370370369</v>
      </c>
      <c r="D11" s="47">
        <f>'Raw Data'!D20/'Raw Data'!D22</f>
        <v>0.19658119658119658</v>
      </c>
      <c r="E11" s="47">
        <f>'Raw Data'!E20/'Raw Data'!E22</f>
        <v>0.19230769230769232</v>
      </c>
      <c r="F11" s="47">
        <f>'Raw Data'!F20/'Raw Data'!F22</f>
        <v>0.1888111888111888</v>
      </c>
    </row>
    <row r="12" spans="1:6" ht="18" customHeight="1" x14ac:dyDescent="0.35">
      <c r="A12" s="22" t="s">
        <v>125</v>
      </c>
      <c r="B12" s="46">
        <f>'Raw Data'!B11/'Raw Data'!B7</f>
        <v>42</v>
      </c>
      <c r="C12" s="46">
        <f>'Raw Data'!C11/'Raw Data'!C7</f>
        <v>45.6</v>
      </c>
      <c r="D12" s="46">
        <f>'Raw Data'!D11/'Raw Data'!D7</f>
        <v>42.5</v>
      </c>
      <c r="E12" s="46">
        <f>'Raw Data'!E11/'Raw Data'!E7</f>
        <v>46.46153846153846</v>
      </c>
      <c r="F12" s="46">
        <f>'Raw Data'!F11/'Raw Data'!F7</f>
        <v>47.142857142857146</v>
      </c>
    </row>
    <row r="13" spans="1:6" ht="18" customHeight="1" x14ac:dyDescent="0.35"/>
    <row r="14" spans="1:6" ht="18" customHeight="1" x14ac:dyDescent="0.35"/>
    <row r="15" spans="1:6" ht="18" customHeight="1" x14ac:dyDescent="0.35"/>
    <row r="16" spans="1:6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4">
    <mergeCell ref="A1:F1"/>
    <mergeCell ref="A3:F3"/>
    <mergeCell ref="A6:F6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F79"/>
  <sheetViews>
    <sheetView showGridLines="0" zoomScaleNormal="100" workbookViewId="0">
      <selection activeCell="H13" sqref="H13"/>
    </sheetView>
  </sheetViews>
  <sheetFormatPr defaultColWidth="8.6328125" defaultRowHeight="14.5" x14ac:dyDescent="0.35"/>
  <cols>
    <col min="1" max="1" width="26" customWidth="1"/>
    <col min="2" max="6" width="14" customWidth="1"/>
  </cols>
  <sheetData>
    <row r="1" spans="1:6" ht="21.75" customHeight="1" x14ac:dyDescent="0.35">
      <c r="A1" s="14" t="s">
        <v>126</v>
      </c>
      <c r="B1" s="14"/>
      <c r="C1" s="14"/>
      <c r="D1" s="14"/>
      <c r="E1" s="14"/>
      <c r="F1" s="14"/>
    </row>
    <row r="2" spans="1:6" ht="18" customHeight="1" x14ac:dyDescent="0.35">
      <c r="A2" s="21" t="s">
        <v>127</v>
      </c>
      <c r="B2" s="21" t="s">
        <v>44</v>
      </c>
      <c r="C2" s="21" t="s">
        <v>45</v>
      </c>
      <c r="D2" s="21" t="s">
        <v>46</v>
      </c>
      <c r="E2" s="21" t="s">
        <v>47</v>
      </c>
      <c r="F2" s="21" t="s">
        <v>48</v>
      </c>
    </row>
    <row r="3" spans="1:6" ht="18" customHeight="1" x14ac:dyDescent="0.35">
      <c r="A3" s="27" t="s">
        <v>128</v>
      </c>
      <c r="B3" s="28">
        <f>'Raw Data'!B4</f>
        <v>90000</v>
      </c>
      <c r="C3" s="28">
        <f>'Raw Data'!C4</f>
        <v>95000</v>
      </c>
      <c r="D3" s="28">
        <f>'Raw Data'!D4</f>
        <v>100000</v>
      </c>
      <c r="E3" s="28">
        <f>'Raw Data'!E4</f>
        <v>110000</v>
      </c>
      <c r="F3" s="28">
        <f>'Raw Data'!F4</f>
        <v>120000</v>
      </c>
    </row>
    <row r="4" spans="1:6" ht="18" customHeight="1" x14ac:dyDescent="0.35">
      <c r="A4" s="22" t="s">
        <v>129</v>
      </c>
      <c r="B4" s="45" t="s">
        <v>130</v>
      </c>
      <c r="C4" s="45">
        <f>C3/B3-1</f>
        <v>5.555555555555558E-2</v>
      </c>
      <c r="D4" s="45">
        <f>D3/C3-1</f>
        <v>5.2631578947368363E-2</v>
      </c>
      <c r="E4" s="45">
        <f>E3/D3-1</f>
        <v>0.10000000000000009</v>
      </c>
      <c r="F4" s="45">
        <f>F3/E3-1</f>
        <v>9.0909090909090828E-2</v>
      </c>
    </row>
    <row r="5" spans="1:6" ht="18" customHeight="1" x14ac:dyDescent="0.35">
      <c r="A5" s="27" t="s">
        <v>131</v>
      </c>
      <c r="B5" s="28">
        <f>'Raw Data'!B11</f>
        <v>21000</v>
      </c>
      <c r="C5" s="28">
        <f>'Raw Data'!C11</f>
        <v>22800</v>
      </c>
      <c r="D5" s="28">
        <f>'Raw Data'!D11</f>
        <v>25500</v>
      </c>
      <c r="E5" s="28">
        <f>'Raw Data'!E11</f>
        <v>30200</v>
      </c>
      <c r="F5" s="28">
        <f>'Raw Data'!F11</f>
        <v>33000</v>
      </c>
    </row>
    <row r="6" spans="1:6" ht="18" customHeight="1" x14ac:dyDescent="0.35">
      <c r="A6" s="27" t="s">
        <v>132</v>
      </c>
      <c r="B6" s="28">
        <f>'Raw Data'!B15</f>
        <v>15375</v>
      </c>
      <c r="C6" s="28">
        <f>'Raw Data'!C15</f>
        <v>16725</v>
      </c>
      <c r="D6" s="28">
        <f>'Raw Data'!D15</f>
        <v>18675</v>
      </c>
      <c r="E6" s="28">
        <f>'Raw Data'!E15</f>
        <v>22162.5</v>
      </c>
      <c r="F6" s="28">
        <f>'Raw Data'!F15</f>
        <v>24225</v>
      </c>
    </row>
    <row r="7" spans="1:6" ht="18" customHeight="1" x14ac:dyDescent="0.35">
      <c r="A7" s="24" t="s">
        <v>120</v>
      </c>
      <c r="B7" s="39">
        <f>'Raw Data'!B11/'Raw Data'!B4</f>
        <v>0.23333333333333334</v>
      </c>
      <c r="C7" s="39">
        <f>'Raw Data'!C11/'Raw Data'!C4</f>
        <v>0.24</v>
      </c>
      <c r="D7" s="39">
        <f>'Raw Data'!D11/'Raw Data'!D4</f>
        <v>0.255</v>
      </c>
      <c r="E7" s="39">
        <f>'Raw Data'!E11/'Raw Data'!E4</f>
        <v>0.27454545454545454</v>
      </c>
      <c r="F7" s="39">
        <f>'Raw Data'!F11/'Raw Data'!F4</f>
        <v>0.27500000000000002</v>
      </c>
    </row>
    <row r="8" spans="1:6" ht="18" customHeight="1" x14ac:dyDescent="0.35">
      <c r="A8" s="22" t="s">
        <v>121</v>
      </c>
      <c r="B8" s="40">
        <f>'Raw Data'!B15/'Raw Data'!B4</f>
        <v>0.17083333333333334</v>
      </c>
      <c r="C8" s="40">
        <f>'Raw Data'!C15/'Raw Data'!C4</f>
        <v>0.17605263157894738</v>
      </c>
      <c r="D8" s="40">
        <f>'Raw Data'!D15/'Raw Data'!D4</f>
        <v>0.18675</v>
      </c>
      <c r="E8" s="40">
        <f>'Raw Data'!E15/'Raw Data'!E4</f>
        <v>0.20147727272727273</v>
      </c>
      <c r="F8" s="40">
        <f>'Raw Data'!F15/'Raw Data'!F4</f>
        <v>0.201875</v>
      </c>
    </row>
    <row r="9" spans="1:6" ht="18" customHeight="1" x14ac:dyDescent="0.35"/>
    <row r="10" spans="1:6" ht="18" customHeight="1" x14ac:dyDescent="0.35">
      <c r="A10" s="48" t="s">
        <v>133</v>
      </c>
      <c r="B10" s="5" t="s">
        <v>134</v>
      </c>
      <c r="C10" s="5"/>
      <c r="D10" s="5"/>
      <c r="E10" s="5"/>
      <c r="F10" s="5"/>
    </row>
    <row r="11" spans="1:6" ht="48" customHeight="1" x14ac:dyDescent="0.35">
      <c r="A11" s="17" t="s">
        <v>135</v>
      </c>
      <c r="B11" s="4" t="s">
        <v>136</v>
      </c>
      <c r="C11" s="4"/>
      <c r="D11" s="4"/>
      <c r="E11" s="4"/>
      <c r="F11" s="4"/>
    </row>
    <row r="12" spans="1:6" ht="48" customHeight="1" x14ac:dyDescent="0.35">
      <c r="A12" s="20" t="s">
        <v>137</v>
      </c>
      <c r="B12" s="3" t="s">
        <v>138</v>
      </c>
      <c r="C12" s="3"/>
      <c r="D12" s="3"/>
      <c r="E12" s="3"/>
      <c r="F12" s="3"/>
    </row>
    <row r="13" spans="1:6" ht="48" customHeight="1" x14ac:dyDescent="0.35">
      <c r="A13" s="17" t="s">
        <v>139</v>
      </c>
      <c r="B13" s="4" t="s">
        <v>140</v>
      </c>
      <c r="C13" s="4"/>
      <c r="D13" s="4"/>
      <c r="E13" s="4"/>
      <c r="F13" s="4"/>
    </row>
    <row r="14" spans="1:6" ht="48" customHeight="1" x14ac:dyDescent="0.35">
      <c r="A14" s="20" t="s">
        <v>141</v>
      </c>
      <c r="B14" s="3" t="s">
        <v>142</v>
      </c>
      <c r="C14" s="3"/>
      <c r="D14" s="3"/>
      <c r="E14" s="3"/>
      <c r="F14" s="3"/>
    </row>
    <row r="15" spans="1:6" ht="18" customHeight="1" x14ac:dyDescent="0.35"/>
    <row r="16" spans="1:6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6">
    <mergeCell ref="B14:F14"/>
    <mergeCell ref="A1:F1"/>
    <mergeCell ref="B10:F10"/>
    <mergeCell ref="B11:F11"/>
    <mergeCell ref="B12:F12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F79"/>
  <sheetViews>
    <sheetView showGridLines="0" topLeftCell="A19" zoomScaleNormal="100" workbookViewId="0">
      <selection activeCell="I1" sqref="I1"/>
    </sheetView>
  </sheetViews>
  <sheetFormatPr defaultColWidth="8.6328125" defaultRowHeight="14.5" x14ac:dyDescent="0.35"/>
  <cols>
    <col min="1" max="1" width="28" customWidth="1"/>
    <col min="2" max="6" width="14" customWidth="1"/>
  </cols>
  <sheetData>
    <row r="1" spans="1:6" ht="21.75" customHeight="1" x14ac:dyDescent="0.35">
      <c r="A1" s="14" t="s">
        <v>259</v>
      </c>
      <c r="B1" s="14"/>
      <c r="C1" s="14"/>
      <c r="D1" s="14"/>
      <c r="E1" s="14"/>
      <c r="F1" s="14"/>
    </row>
    <row r="2" spans="1:6" ht="19.5" customHeight="1" x14ac:dyDescent="0.35">
      <c r="A2" s="8" t="s">
        <v>13</v>
      </c>
      <c r="B2" s="8"/>
      <c r="C2" s="8"/>
      <c r="D2" s="8"/>
      <c r="E2" s="8"/>
      <c r="F2" s="8"/>
    </row>
    <row r="3" spans="1:6" ht="18" customHeight="1" x14ac:dyDescent="0.35">
      <c r="A3" s="21"/>
      <c r="B3" s="21" t="s">
        <v>44</v>
      </c>
      <c r="C3" s="21" t="s">
        <v>45</v>
      </c>
      <c r="D3" s="21" t="s">
        <v>46</v>
      </c>
      <c r="E3" s="21" t="s">
        <v>47</v>
      </c>
      <c r="F3" s="21" t="s">
        <v>48</v>
      </c>
    </row>
    <row r="4" spans="1:6" ht="18" customHeight="1" x14ac:dyDescent="0.35">
      <c r="A4" s="27" t="s">
        <v>49</v>
      </c>
      <c r="B4" s="28">
        <f>'Raw Data'!B4</f>
        <v>90000</v>
      </c>
      <c r="C4" s="28">
        <f>'Raw Data'!C4</f>
        <v>95000</v>
      </c>
      <c r="D4" s="28">
        <f>'Raw Data'!D4</f>
        <v>100000</v>
      </c>
      <c r="E4" s="28">
        <f>'Raw Data'!E4</f>
        <v>110000</v>
      </c>
      <c r="F4" s="28">
        <f>'Raw Data'!F4</f>
        <v>120000</v>
      </c>
    </row>
    <row r="5" spans="1:6" ht="18" customHeight="1" x14ac:dyDescent="0.35">
      <c r="A5" s="24" t="s">
        <v>101</v>
      </c>
      <c r="B5" s="29">
        <f>'Raw Data'!B5</f>
        <v>65000</v>
      </c>
      <c r="C5" s="29">
        <f>'Raw Data'!C5</f>
        <v>68000</v>
      </c>
      <c r="D5" s="29">
        <f>'Raw Data'!D5</f>
        <v>70000</v>
      </c>
      <c r="E5" s="29">
        <f>'Raw Data'!E5</f>
        <v>75000</v>
      </c>
      <c r="F5" s="29">
        <f>'Raw Data'!F5</f>
        <v>82000</v>
      </c>
    </row>
    <row r="6" spans="1:6" ht="18" customHeight="1" x14ac:dyDescent="0.35">
      <c r="A6" s="22" t="s">
        <v>102</v>
      </c>
      <c r="B6" s="30">
        <f>'Raw Data'!B6</f>
        <v>4000</v>
      </c>
      <c r="C6" s="30">
        <f>'Raw Data'!C6</f>
        <v>4200</v>
      </c>
      <c r="D6" s="30">
        <f>'Raw Data'!D6</f>
        <v>4500</v>
      </c>
      <c r="E6" s="30">
        <f>'Raw Data'!E6</f>
        <v>4800</v>
      </c>
      <c r="F6" s="30">
        <f>'Raw Data'!F6</f>
        <v>5000</v>
      </c>
    </row>
    <row r="7" spans="1:6" ht="18" customHeight="1" x14ac:dyDescent="0.35">
      <c r="A7" s="27" t="s">
        <v>55</v>
      </c>
      <c r="B7" s="28">
        <f>B4-B5-B6</f>
        <v>21000</v>
      </c>
      <c r="C7" s="28">
        <f>C4-C5-C6</f>
        <v>22800</v>
      </c>
      <c r="D7" s="28">
        <f>D4-D5-D6</f>
        <v>25500</v>
      </c>
      <c r="E7" s="28">
        <f>E4-E5-E6</f>
        <v>30200</v>
      </c>
      <c r="F7" s="28">
        <f>F4-F5-F6</f>
        <v>33000</v>
      </c>
    </row>
    <row r="8" spans="1:6" ht="18" customHeight="1" x14ac:dyDescent="0.35">
      <c r="A8" s="22" t="s">
        <v>103</v>
      </c>
      <c r="B8" s="30">
        <f>'Raw Data'!B7</f>
        <v>500</v>
      </c>
      <c r="C8" s="30">
        <f>'Raw Data'!C7</f>
        <v>500</v>
      </c>
      <c r="D8" s="30">
        <f>'Raw Data'!D7</f>
        <v>600</v>
      </c>
      <c r="E8" s="30">
        <f>'Raw Data'!E7</f>
        <v>650</v>
      </c>
      <c r="F8" s="30">
        <f>'Raw Data'!F7</f>
        <v>700</v>
      </c>
    </row>
    <row r="9" spans="1:6" ht="18" customHeight="1" x14ac:dyDescent="0.35">
      <c r="A9" s="24" t="s">
        <v>57</v>
      </c>
      <c r="B9" s="29">
        <f>B7-B8</f>
        <v>20500</v>
      </c>
      <c r="C9" s="29">
        <f>C7-C8</f>
        <v>22300</v>
      </c>
      <c r="D9" s="29">
        <f>D7-D8</f>
        <v>24900</v>
      </c>
      <c r="E9" s="29">
        <f>E7-E8</f>
        <v>29550</v>
      </c>
      <c r="F9" s="29">
        <f>F7-F8</f>
        <v>32300</v>
      </c>
    </row>
    <row r="10" spans="1:6" ht="18" customHeight="1" x14ac:dyDescent="0.35">
      <c r="A10" s="22" t="s">
        <v>143</v>
      </c>
      <c r="B10" s="30">
        <f>B9*'Raw Data'!B8</f>
        <v>5125</v>
      </c>
      <c r="C10" s="30">
        <f>C9*'Raw Data'!C8</f>
        <v>5575</v>
      </c>
      <c r="D10" s="30">
        <f>D9*'Raw Data'!D8</f>
        <v>6225</v>
      </c>
      <c r="E10" s="30">
        <f>E9*'Raw Data'!E8</f>
        <v>7387.5</v>
      </c>
      <c r="F10" s="30">
        <f>F9*'Raw Data'!F8</f>
        <v>8075</v>
      </c>
    </row>
    <row r="11" spans="1:6" ht="18" customHeight="1" x14ac:dyDescent="0.35">
      <c r="A11" s="27" t="s">
        <v>59</v>
      </c>
      <c r="B11" s="28">
        <f>B9-B10</f>
        <v>15375</v>
      </c>
      <c r="C11" s="28">
        <f>C9-C10</f>
        <v>16725</v>
      </c>
      <c r="D11" s="28">
        <f>D9-D10</f>
        <v>18675</v>
      </c>
      <c r="E11" s="28">
        <f>E9-E10</f>
        <v>22162.5</v>
      </c>
      <c r="F11" s="28">
        <f>F9-F10</f>
        <v>24225</v>
      </c>
    </row>
    <row r="12" spans="1:6" ht="18" customHeight="1" x14ac:dyDescent="0.35"/>
    <row r="13" spans="1:6" ht="19.5" customHeight="1" x14ac:dyDescent="0.35">
      <c r="A13" s="8" t="s">
        <v>144</v>
      </c>
      <c r="B13" s="8"/>
      <c r="C13" s="8"/>
      <c r="D13" s="8"/>
      <c r="E13" s="8"/>
      <c r="F13" s="8"/>
    </row>
    <row r="14" spans="1:6" ht="18" customHeight="1" x14ac:dyDescent="0.35">
      <c r="A14" s="21"/>
      <c r="B14" s="21" t="s">
        <v>44</v>
      </c>
      <c r="C14" s="21" t="s">
        <v>45</v>
      </c>
      <c r="D14" s="21" t="s">
        <v>46</v>
      </c>
      <c r="E14" s="21" t="s">
        <v>47</v>
      </c>
      <c r="F14" s="21" t="s">
        <v>48</v>
      </c>
    </row>
    <row r="15" spans="1:6" ht="18" customHeight="1" x14ac:dyDescent="0.35">
      <c r="A15" s="27" t="s">
        <v>61</v>
      </c>
      <c r="B15" s="28">
        <f>'Raw Data'!B19</f>
        <v>120000</v>
      </c>
      <c r="C15" s="28">
        <f>'Raw Data'!C19</f>
        <v>130000</v>
      </c>
      <c r="D15" s="28">
        <f>'Raw Data'!D19</f>
        <v>140000</v>
      </c>
      <c r="E15" s="28">
        <f>'Raw Data'!E19</f>
        <v>155000</v>
      </c>
      <c r="F15" s="28">
        <f>'Raw Data'!F19</f>
        <v>170000</v>
      </c>
    </row>
    <row r="16" spans="1:6" ht="18" customHeight="1" x14ac:dyDescent="0.35">
      <c r="A16" s="22" t="s">
        <v>62</v>
      </c>
      <c r="B16" s="30">
        <f>'Raw Data'!B20</f>
        <v>20000</v>
      </c>
      <c r="C16" s="30">
        <f>'Raw Data'!C20</f>
        <v>22000</v>
      </c>
      <c r="D16" s="30">
        <f>'Raw Data'!D20</f>
        <v>23000</v>
      </c>
      <c r="E16" s="30">
        <f>'Raw Data'!E20</f>
        <v>25000</v>
      </c>
      <c r="F16" s="30">
        <f>'Raw Data'!F20</f>
        <v>27000</v>
      </c>
    </row>
    <row r="17" spans="1:6" ht="18" customHeight="1" x14ac:dyDescent="0.35">
      <c r="A17" s="24" t="s">
        <v>63</v>
      </c>
      <c r="B17" s="29">
        <f>'Raw Data'!B21</f>
        <v>10000</v>
      </c>
      <c r="C17" s="29">
        <f>'Raw Data'!C21</f>
        <v>12000</v>
      </c>
      <c r="D17" s="29">
        <f>'Raw Data'!D21</f>
        <v>15000</v>
      </c>
      <c r="E17" s="29">
        <f>'Raw Data'!E21</f>
        <v>18000</v>
      </c>
      <c r="F17" s="29">
        <f>'Raw Data'!F21</f>
        <v>20000</v>
      </c>
    </row>
    <row r="18" spans="1:6" ht="18" customHeight="1" x14ac:dyDescent="0.35">
      <c r="A18" s="22" t="s">
        <v>64</v>
      </c>
      <c r="B18" s="30">
        <f>'Raw Data'!B22</f>
        <v>100000</v>
      </c>
      <c r="C18" s="30">
        <f>'Raw Data'!C22</f>
        <v>108000</v>
      </c>
      <c r="D18" s="30">
        <f>'Raw Data'!D22</f>
        <v>117000</v>
      </c>
      <c r="E18" s="30">
        <f>'Raw Data'!E22</f>
        <v>130000</v>
      </c>
      <c r="F18" s="30">
        <f>'Raw Data'!F22</f>
        <v>143000</v>
      </c>
    </row>
    <row r="19" spans="1:6" ht="18" customHeight="1" x14ac:dyDescent="0.35">
      <c r="A19" s="24" t="s">
        <v>145</v>
      </c>
      <c r="B19" s="29">
        <f>40000+B11</f>
        <v>55375</v>
      </c>
      <c r="C19" s="29">
        <f>B19+C11</f>
        <v>72100</v>
      </c>
      <c r="D19" s="29">
        <f>C19+D11</f>
        <v>90775</v>
      </c>
      <c r="E19" s="29">
        <f>D19+E11</f>
        <v>112937.5</v>
      </c>
      <c r="F19" s="29">
        <f>E19+F11</f>
        <v>137162.5</v>
      </c>
    </row>
    <row r="20" spans="1:6" ht="18" customHeight="1" x14ac:dyDescent="0.35">
      <c r="A20" s="2" t="s">
        <v>146</v>
      </c>
      <c r="B20" s="2"/>
      <c r="C20" s="2"/>
      <c r="D20" s="2"/>
      <c r="E20" s="2"/>
      <c r="F20" s="2"/>
    </row>
    <row r="21" spans="1:6" ht="18" customHeight="1" x14ac:dyDescent="0.35"/>
    <row r="22" spans="1:6" ht="19.5" customHeight="1" x14ac:dyDescent="0.35">
      <c r="A22" s="8" t="s">
        <v>147</v>
      </c>
      <c r="B22" s="8"/>
      <c r="C22" s="8"/>
      <c r="D22" s="8"/>
      <c r="E22" s="8"/>
      <c r="F22" s="8"/>
    </row>
    <row r="23" spans="1:6" ht="18" customHeight="1" x14ac:dyDescent="0.35">
      <c r="A23" s="21"/>
      <c r="B23" s="21" t="s">
        <v>44</v>
      </c>
      <c r="C23" s="21" t="s">
        <v>45</v>
      </c>
      <c r="D23" s="21" t="s">
        <v>46</v>
      </c>
      <c r="E23" s="21" t="s">
        <v>47</v>
      </c>
      <c r="F23" s="21" t="s">
        <v>48</v>
      </c>
    </row>
    <row r="24" spans="1:6" ht="18" customHeight="1" x14ac:dyDescent="0.35">
      <c r="A24" s="22" t="s">
        <v>59</v>
      </c>
      <c r="B24" s="30">
        <f>B11</f>
        <v>15375</v>
      </c>
      <c r="C24" s="30">
        <f>C11</f>
        <v>16725</v>
      </c>
      <c r="D24" s="30">
        <f>D11</f>
        <v>18675</v>
      </c>
      <c r="E24" s="30">
        <f>E11</f>
        <v>22162.5</v>
      </c>
      <c r="F24" s="30">
        <f>F11</f>
        <v>24225</v>
      </c>
    </row>
    <row r="25" spans="1:6" ht="18" customHeight="1" x14ac:dyDescent="0.35">
      <c r="A25" s="24" t="s">
        <v>148</v>
      </c>
      <c r="B25" s="29">
        <f>'Raw Data'!B6</f>
        <v>4000</v>
      </c>
      <c r="C25" s="29">
        <f>'Raw Data'!C6</f>
        <v>4200</v>
      </c>
      <c r="D25" s="29">
        <f>'Raw Data'!D6</f>
        <v>4500</v>
      </c>
      <c r="E25" s="29">
        <f>'Raw Data'!E6</f>
        <v>4800</v>
      </c>
      <c r="F25" s="29">
        <f>'Raw Data'!F6</f>
        <v>5000</v>
      </c>
    </row>
    <row r="26" spans="1:6" ht="18" customHeight="1" x14ac:dyDescent="0.35">
      <c r="A26" s="27" t="s">
        <v>149</v>
      </c>
      <c r="B26" s="28">
        <f>B24+B25</f>
        <v>19375</v>
      </c>
      <c r="C26" s="28">
        <f>C24+C25</f>
        <v>20925</v>
      </c>
      <c r="D26" s="28">
        <f>D24+D25</f>
        <v>23175</v>
      </c>
      <c r="E26" s="28">
        <f>E24+E25</f>
        <v>26962.5</v>
      </c>
      <c r="F26" s="28">
        <f>F24+F25</f>
        <v>29225</v>
      </c>
    </row>
    <row r="27" spans="1:6" ht="18" customHeight="1" x14ac:dyDescent="0.35">
      <c r="A27" s="24" t="s">
        <v>150</v>
      </c>
      <c r="B27" s="29">
        <f>-20000</f>
        <v>-20000</v>
      </c>
      <c r="C27" s="29">
        <f>-10000</f>
        <v>-10000</v>
      </c>
      <c r="D27" s="29">
        <f>-10000</f>
        <v>-10000</v>
      </c>
      <c r="E27" s="29">
        <f>-15000</f>
        <v>-15000</v>
      </c>
      <c r="F27" s="29">
        <f>-15000</f>
        <v>-15000</v>
      </c>
    </row>
    <row r="28" spans="1:6" ht="18" customHeight="1" x14ac:dyDescent="0.35">
      <c r="A28" s="22" t="s">
        <v>151</v>
      </c>
      <c r="B28" s="30">
        <f>2000</f>
        <v>2000</v>
      </c>
      <c r="C28" s="30">
        <f>2000</f>
        <v>2000</v>
      </c>
      <c r="D28" s="30">
        <f>1000</f>
        <v>1000</v>
      </c>
      <c r="E28" s="30">
        <f>2000</f>
        <v>2000</v>
      </c>
      <c r="F28" s="30">
        <f>2000</f>
        <v>2000</v>
      </c>
    </row>
    <row r="29" spans="1:6" ht="18" customHeight="1" x14ac:dyDescent="0.35">
      <c r="A29" s="27" t="s">
        <v>152</v>
      </c>
      <c r="B29" s="28">
        <f>B26+B27+B28</f>
        <v>1375</v>
      </c>
      <c r="C29" s="28">
        <f>C26+C27+C28</f>
        <v>12925</v>
      </c>
      <c r="D29" s="28">
        <f>D26+D27+D28</f>
        <v>14175</v>
      </c>
      <c r="E29" s="28">
        <f>E26+E27+E28</f>
        <v>13962.5</v>
      </c>
      <c r="F29" s="28">
        <f>F26+F27+F28</f>
        <v>16225</v>
      </c>
    </row>
    <row r="30" spans="1:6" ht="18" customHeight="1" x14ac:dyDescent="0.35">
      <c r="A30" s="27" t="s">
        <v>153</v>
      </c>
      <c r="B30" s="28">
        <f>'Raw Data'!B21</f>
        <v>10000</v>
      </c>
      <c r="C30" s="28">
        <f>'Raw Data'!C21</f>
        <v>12000</v>
      </c>
      <c r="D30" s="28">
        <f>'Raw Data'!D21</f>
        <v>15000</v>
      </c>
      <c r="E30" s="28">
        <f>'Raw Data'!E21</f>
        <v>18000</v>
      </c>
      <c r="F30" s="28">
        <f>'Raw Data'!F21</f>
        <v>20000</v>
      </c>
    </row>
    <row r="31" spans="1:6" ht="18" customHeight="1" x14ac:dyDescent="0.35">
      <c r="A31" s="49"/>
    </row>
    <row r="32" spans="1:6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5">
    <mergeCell ref="A1:F1"/>
    <mergeCell ref="A2:F2"/>
    <mergeCell ref="A13:F13"/>
    <mergeCell ref="A20:F20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B9BD5"/>
  </sheetPr>
  <dimension ref="A1:K79"/>
  <sheetViews>
    <sheetView showGridLines="0" zoomScaleNormal="100" workbookViewId="0">
      <selection activeCell="A2" sqref="A2:B2"/>
    </sheetView>
  </sheetViews>
  <sheetFormatPr defaultColWidth="8.6328125" defaultRowHeight="14.5" x14ac:dyDescent="0.35"/>
  <cols>
    <col min="1" max="1" width="28" customWidth="1"/>
    <col min="2" max="11" width="13" customWidth="1"/>
  </cols>
  <sheetData>
    <row r="1" spans="1:11" ht="21.75" customHeight="1" x14ac:dyDescent="0.35">
      <c r="A1" s="14" t="s">
        <v>260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9.5" customHeight="1" x14ac:dyDescent="0.35">
      <c r="A2" s="109" t="s">
        <v>154</v>
      </c>
      <c r="B2" s="110"/>
    </row>
    <row r="3" spans="1:11" ht="18" customHeight="1" x14ac:dyDescent="0.35">
      <c r="A3" s="21" t="s">
        <v>66</v>
      </c>
      <c r="B3" s="21" t="s">
        <v>67</v>
      </c>
      <c r="C3" s="31"/>
    </row>
    <row r="4" spans="1:11" ht="18" customHeight="1" x14ac:dyDescent="0.35">
      <c r="A4" s="32" t="s">
        <v>155</v>
      </c>
      <c r="B4" s="33">
        <v>7.4999999999999997E-2</v>
      </c>
      <c r="C4" s="7"/>
      <c r="D4" s="7"/>
      <c r="E4" s="7"/>
      <c r="F4" s="7"/>
    </row>
    <row r="5" spans="1:11" ht="18" customHeight="1" x14ac:dyDescent="0.35">
      <c r="A5" s="32" t="s">
        <v>156</v>
      </c>
      <c r="B5" s="33">
        <v>0.68</v>
      </c>
      <c r="C5" s="7"/>
      <c r="D5" s="7"/>
      <c r="E5" s="7"/>
      <c r="F5" s="7"/>
    </row>
    <row r="6" spans="1:11" ht="18" customHeight="1" x14ac:dyDescent="0.35">
      <c r="A6" s="32" t="s">
        <v>157</v>
      </c>
      <c r="B6" s="33">
        <v>0.04</v>
      </c>
      <c r="C6" s="7"/>
      <c r="D6" s="7"/>
      <c r="E6" s="7"/>
      <c r="F6" s="7"/>
    </row>
    <row r="7" spans="1:11" ht="18" customHeight="1" x14ac:dyDescent="0.35">
      <c r="A7" s="32" t="s">
        <v>158</v>
      </c>
      <c r="B7" s="33">
        <v>3.5000000000000003E-2</v>
      </c>
      <c r="C7" s="7"/>
      <c r="D7" s="7"/>
      <c r="E7" s="7"/>
      <c r="F7" s="7"/>
    </row>
    <row r="8" spans="1:11" ht="18" customHeight="1" x14ac:dyDescent="0.35">
      <c r="A8" s="32" t="s">
        <v>53</v>
      </c>
      <c r="B8" s="33">
        <f>'Raw Data'!B8</f>
        <v>0.25</v>
      </c>
      <c r="C8" s="7"/>
      <c r="D8" s="7"/>
      <c r="E8" s="7"/>
      <c r="F8" s="7"/>
    </row>
    <row r="9" spans="1:11" ht="19.5" customHeight="1" x14ac:dyDescent="0.35">
      <c r="A9" s="8" t="s">
        <v>159</v>
      </c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18" customHeight="1" x14ac:dyDescent="0.35">
      <c r="A10" s="21" t="s">
        <v>127</v>
      </c>
      <c r="B10" s="21" t="s">
        <v>106</v>
      </c>
      <c r="C10" s="21" t="s">
        <v>107</v>
      </c>
      <c r="D10" s="21" t="s">
        <v>109</v>
      </c>
      <c r="E10" s="21" t="s">
        <v>110</v>
      </c>
      <c r="F10" s="21" t="s">
        <v>111</v>
      </c>
      <c r="G10" s="50" t="s">
        <v>160</v>
      </c>
      <c r="H10" s="50" t="s">
        <v>161</v>
      </c>
      <c r="I10" s="50" t="s">
        <v>162</v>
      </c>
      <c r="J10" s="50" t="s">
        <v>163</v>
      </c>
      <c r="K10" s="50" t="s">
        <v>164</v>
      </c>
    </row>
    <row r="11" spans="1:11" ht="18" customHeight="1" x14ac:dyDescent="0.35">
      <c r="A11" s="27" t="s">
        <v>49</v>
      </c>
      <c r="B11" s="41">
        <f>'Raw Data'!B4</f>
        <v>90000</v>
      </c>
      <c r="C11" s="41">
        <f>'Raw Data'!C4</f>
        <v>95000</v>
      </c>
      <c r="D11" s="41">
        <f>'Raw Data'!D4</f>
        <v>100000</v>
      </c>
      <c r="E11" s="41">
        <f>'Raw Data'!E4</f>
        <v>110000</v>
      </c>
      <c r="F11" s="41">
        <f>'Raw Data'!F4</f>
        <v>120000</v>
      </c>
      <c r="G11" s="51">
        <f>F11*(1+$B$4)</f>
        <v>129000</v>
      </c>
      <c r="H11" s="51">
        <f>G11*(1+$B$4)</f>
        <v>138675</v>
      </c>
      <c r="I11" s="51">
        <f>H11*(1+$B$4)</f>
        <v>149075.625</v>
      </c>
      <c r="J11" s="51">
        <f>I11*(1+$B$4)</f>
        <v>160256.296875</v>
      </c>
      <c r="K11" s="51">
        <f>J11*(1+$B$4)</f>
        <v>172275.51914062499</v>
      </c>
    </row>
    <row r="12" spans="1:11" ht="18" customHeight="1" x14ac:dyDescent="0.35">
      <c r="A12" s="22" t="s">
        <v>50</v>
      </c>
      <c r="B12" s="44">
        <f>'Raw Data'!B5</f>
        <v>65000</v>
      </c>
      <c r="C12" s="44">
        <f>'Raw Data'!C5</f>
        <v>68000</v>
      </c>
      <c r="D12" s="44">
        <f>'Raw Data'!D5</f>
        <v>70000</v>
      </c>
      <c r="E12" s="44">
        <f>'Raw Data'!E5</f>
        <v>75000</v>
      </c>
      <c r="F12" s="44">
        <f>'Raw Data'!F5</f>
        <v>82000</v>
      </c>
      <c r="G12" s="52">
        <f>G11*$B$5</f>
        <v>87720</v>
      </c>
      <c r="H12" s="52">
        <f>H11*$B$5</f>
        <v>94299</v>
      </c>
      <c r="I12" s="52">
        <f>I11*$B$5</f>
        <v>101371.425</v>
      </c>
      <c r="J12" s="52">
        <f>J11*$B$5</f>
        <v>108974.281875</v>
      </c>
      <c r="K12" s="52">
        <f>K11*$B$5</f>
        <v>117147.35301562501</v>
      </c>
    </row>
    <row r="13" spans="1:11" ht="18" customHeight="1" x14ac:dyDescent="0.35">
      <c r="A13" s="24" t="s">
        <v>51</v>
      </c>
      <c r="B13" s="43">
        <f>'Raw Data'!B6</f>
        <v>4000</v>
      </c>
      <c r="C13" s="43">
        <f>'Raw Data'!C6</f>
        <v>4200</v>
      </c>
      <c r="D13" s="43">
        <f>'Raw Data'!D6</f>
        <v>4500</v>
      </c>
      <c r="E13" s="43">
        <f>'Raw Data'!E6</f>
        <v>4800</v>
      </c>
      <c r="F13" s="43">
        <f>'Raw Data'!F6</f>
        <v>5000</v>
      </c>
      <c r="G13" s="52">
        <f>F13*(1+$B$6)</f>
        <v>5200</v>
      </c>
      <c r="H13" s="52">
        <f>G13*(1+$B$6)</f>
        <v>5408</v>
      </c>
      <c r="I13" s="52">
        <f>H13*(1+$B$6)</f>
        <v>5624.3200000000006</v>
      </c>
      <c r="J13" s="52">
        <f>I13*(1+$B$6)</f>
        <v>5849.2928000000011</v>
      </c>
      <c r="K13" s="52">
        <f>J13*(1+$B$6)</f>
        <v>6083.2645120000016</v>
      </c>
    </row>
    <row r="14" spans="1:11" ht="18" customHeight="1" x14ac:dyDescent="0.35">
      <c r="A14" s="27" t="s">
        <v>55</v>
      </c>
      <c r="B14" s="41">
        <f>'Raw Data'!B11</f>
        <v>21000</v>
      </c>
      <c r="C14" s="41">
        <f>'Raw Data'!C11</f>
        <v>22800</v>
      </c>
      <c r="D14" s="41">
        <f>'Raw Data'!D11</f>
        <v>25500</v>
      </c>
      <c r="E14" s="41">
        <f>'Raw Data'!E11</f>
        <v>30200</v>
      </c>
      <c r="F14" s="41">
        <f>'Raw Data'!F11</f>
        <v>33000</v>
      </c>
      <c r="G14" s="51">
        <f>G11-G12-G13</f>
        <v>36080</v>
      </c>
      <c r="H14" s="51">
        <f>H11-H12-H13</f>
        <v>38968</v>
      </c>
      <c r="I14" s="51">
        <f>I11-I12-I13</f>
        <v>42079.88</v>
      </c>
      <c r="J14" s="51">
        <f>J11-J12-J13</f>
        <v>45432.722199999997</v>
      </c>
      <c r="K14" s="51">
        <f>K11-K12-K13</f>
        <v>49044.901612999987</v>
      </c>
    </row>
    <row r="15" spans="1:11" ht="18" customHeight="1" x14ac:dyDescent="0.35">
      <c r="A15" s="24" t="s">
        <v>113</v>
      </c>
      <c r="B15" s="43">
        <f>'Raw Data'!B7</f>
        <v>500</v>
      </c>
      <c r="C15" s="43">
        <f>'Raw Data'!C7</f>
        <v>500</v>
      </c>
      <c r="D15" s="43">
        <f>'Raw Data'!D7</f>
        <v>600</v>
      </c>
      <c r="E15" s="43">
        <f>'Raw Data'!E7</f>
        <v>650</v>
      </c>
      <c r="F15" s="43">
        <f>'Raw Data'!F7</f>
        <v>700</v>
      </c>
      <c r="G15" s="52">
        <f>F15*(1+$B$7)</f>
        <v>724.5</v>
      </c>
      <c r="H15" s="52">
        <f>G15*(1+$B$7)</f>
        <v>749.85749999999996</v>
      </c>
      <c r="I15" s="52">
        <f>H15*(1+$B$7)</f>
        <v>776.10251249999988</v>
      </c>
      <c r="J15" s="52">
        <f>I15*(1+$B$7)</f>
        <v>803.26610043749986</v>
      </c>
      <c r="K15" s="52">
        <f>J15*(1+$B$7)</f>
        <v>831.38041395281232</v>
      </c>
    </row>
    <row r="16" spans="1:11" ht="18" customHeight="1" x14ac:dyDescent="0.35">
      <c r="A16" s="27" t="s">
        <v>59</v>
      </c>
      <c r="B16" s="41">
        <f>'Raw Data'!B15</f>
        <v>15375</v>
      </c>
      <c r="C16" s="41">
        <f>'Raw Data'!C15</f>
        <v>16725</v>
      </c>
      <c r="D16" s="41">
        <f>'Raw Data'!D15</f>
        <v>18675</v>
      </c>
      <c r="E16" s="41">
        <f>'Raw Data'!E15</f>
        <v>22162.5</v>
      </c>
      <c r="F16" s="41">
        <f>'Raw Data'!F15</f>
        <v>24225</v>
      </c>
      <c r="G16" s="51">
        <f>(G14-G15)*(1-$B$8)</f>
        <v>26516.625</v>
      </c>
      <c r="H16" s="51">
        <f>(H14-H15)*(1-$B$8)</f>
        <v>28663.606875000001</v>
      </c>
      <c r="I16" s="51">
        <f>(I14-I15)*(1-$B$8)</f>
        <v>30977.833115624999</v>
      </c>
      <c r="J16" s="51">
        <f>(J14-J15)*(1-$B$8)</f>
        <v>33472.092074671877</v>
      </c>
      <c r="K16" s="51">
        <f>(K14-K15)*(1-$B$8)</f>
        <v>36160.140899285383</v>
      </c>
    </row>
    <row r="17" spans="1:11" ht="18" customHeight="1" x14ac:dyDescent="0.35">
      <c r="A17" s="27" t="s">
        <v>165</v>
      </c>
      <c r="B17" s="41">
        <f>B16+'Raw Data'!B6</f>
        <v>19375</v>
      </c>
      <c r="C17" s="41">
        <f>C16+'Raw Data'!C6</f>
        <v>20925</v>
      </c>
      <c r="D17" s="41">
        <f>D16+'Raw Data'!D6</f>
        <v>23175</v>
      </c>
      <c r="E17" s="41">
        <f>E16+'Raw Data'!E6</f>
        <v>26962.5</v>
      </c>
      <c r="F17" s="41">
        <f>F16+'Raw Data'!F6</f>
        <v>29225</v>
      </c>
      <c r="G17" s="51">
        <f>G16+G13</f>
        <v>31716.625</v>
      </c>
      <c r="H17" s="51">
        <f>H16+H13</f>
        <v>34071.606874999998</v>
      </c>
      <c r="I17" s="51">
        <f>I16+I13</f>
        <v>36602.153115624998</v>
      </c>
      <c r="J17" s="51">
        <f>J16+J13</f>
        <v>39321.38487467188</v>
      </c>
      <c r="K17" s="51">
        <f>K16+K13</f>
        <v>42243.405411285385</v>
      </c>
    </row>
    <row r="18" spans="1:11" ht="18" customHeight="1" x14ac:dyDescent="0.35"/>
    <row r="19" spans="1:11" ht="18" customHeight="1" x14ac:dyDescent="0.35"/>
    <row r="20" spans="1:11" ht="18" customHeight="1" x14ac:dyDescent="0.35"/>
    <row r="21" spans="1:11" ht="18" customHeight="1" x14ac:dyDescent="0.35"/>
    <row r="22" spans="1:11" ht="18" customHeight="1" x14ac:dyDescent="0.35"/>
    <row r="23" spans="1:11" ht="18" customHeight="1" x14ac:dyDescent="0.35"/>
    <row r="24" spans="1:11" ht="18" customHeight="1" x14ac:dyDescent="0.35"/>
    <row r="25" spans="1:11" ht="18" customHeight="1" x14ac:dyDescent="0.35"/>
    <row r="26" spans="1:11" ht="18" customHeight="1" x14ac:dyDescent="0.35"/>
    <row r="27" spans="1:11" ht="18" customHeight="1" x14ac:dyDescent="0.35"/>
    <row r="28" spans="1:11" ht="18" customHeight="1" x14ac:dyDescent="0.35"/>
    <row r="29" spans="1:11" ht="18" customHeight="1" x14ac:dyDescent="0.35"/>
    <row r="30" spans="1:11" ht="18" customHeight="1" x14ac:dyDescent="0.35"/>
    <row r="31" spans="1:11" ht="18" customHeight="1" x14ac:dyDescent="0.35"/>
    <row r="32" spans="1:11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8">
    <mergeCell ref="C7:F7"/>
    <mergeCell ref="C8:F8"/>
    <mergeCell ref="A9:K9"/>
    <mergeCell ref="A2:B2"/>
    <mergeCell ref="A1:K1"/>
    <mergeCell ref="C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B79"/>
  <sheetViews>
    <sheetView showGridLines="0" zoomScaleNormal="100" workbookViewId="0">
      <selection activeCell="A2" sqref="A2:B2"/>
    </sheetView>
  </sheetViews>
  <sheetFormatPr defaultColWidth="8.6328125" defaultRowHeight="14.5" x14ac:dyDescent="0.35"/>
  <cols>
    <col min="1" max="1" width="35" customWidth="1"/>
    <col min="2" max="2" width="22.26953125" customWidth="1"/>
    <col min="3" max="3" width="50" customWidth="1"/>
  </cols>
  <sheetData>
    <row r="1" spans="1:2" ht="39" customHeight="1" x14ac:dyDescent="0.35">
      <c r="A1" s="111" t="s">
        <v>261</v>
      </c>
      <c r="B1" s="112"/>
    </row>
    <row r="2" spans="1:2" ht="19.5" customHeight="1" x14ac:dyDescent="0.35">
      <c r="A2" s="109" t="s">
        <v>291</v>
      </c>
      <c r="B2" s="110"/>
    </row>
    <row r="3" spans="1:2" ht="18" customHeight="1" x14ac:dyDescent="0.35">
      <c r="A3" s="21" t="s">
        <v>100</v>
      </c>
      <c r="B3" s="21" t="s">
        <v>67</v>
      </c>
    </row>
    <row r="4" spans="1:2" ht="19.5" customHeight="1" x14ac:dyDescent="0.35">
      <c r="A4" s="22" t="s">
        <v>68</v>
      </c>
      <c r="B4" s="40">
        <f>'Raw Data'!B26</f>
        <v>0.06</v>
      </c>
    </row>
    <row r="5" spans="1:2" ht="19.5" customHeight="1" x14ac:dyDescent="0.35">
      <c r="A5" s="24" t="s">
        <v>69</v>
      </c>
      <c r="B5" s="39">
        <f>'Raw Data'!B27</f>
        <v>0.12</v>
      </c>
    </row>
    <row r="6" spans="1:2" ht="19.5" customHeight="1" x14ac:dyDescent="0.35">
      <c r="A6" s="22" t="s">
        <v>70</v>
      </c>
      <c r="B6" s="54">
        <f>'Raw Data'!B28</f>
        <v>1.1000000000000001</v>
      </c>
    </row>
    <row r="7" spans="1:2" ht="19.5" customHeight="1" x14ac:dyDescent="0.35">
      <c r="A7" s="55" t="s">
        <v>166</v>
      </c>
      <c r="B7" s="38">
        <f>B4+B6*(B5-B4)</f>
        <v>0.126</v>
      </c>
    </row>
    <row r="8" spans="1:2" ht="18" customHeight="1" x14ac:dyDescent="0.35"/>
    <row r="9" spans="1:2" ht="19.5" customHeight="1" x14ac:dyDescent="0.35">
      <c r="A9" s="109" t="s">
        <v>167</v>
      </c>
      <c r="B9" s="110"/>
    </row>
    <row r="10" spans="1:2" ht="18" customHeight="1" x14ac:dyDescent="0.35">
      <c r="A10" s="21" t="s">
        <v>100</v>
      </c>
      <c r="B10" s="21" t="s">
        <v>67</v>
      </c>
    </row>
    <row r="11" spans="1:2" ht="19.5" customHeight="1" x14ac:dyDescent="0.35">
      <c r="A11" s="24" t="s">
        <v>71</v>
      </c>
      <c r="B11" s="39">
        <f>'Raw Data'!B29</f>
        <v>0.08</v>
      </c>
    </row>
    <row r="12" spans="1:2" ht="19.5" customHeight="1" x14ac:dyDescent="0.35">
      <c r="A12" s="22" t="s">
        <v>53</v>
      </c>
      <c r="B12" s="40">
        <f>'Raw Data'!B8</f>
        <v>0.25</v>
      </c>
    </row>
    <row r="13" spans="1:2" ht="19.5" customHeight="1" x14ac:dyDescent="0.35">
      <c r="A13" s="24" t="s">
        <v>168</v>
      </c>
      <c r="B13" s="29">
        <f>'Raw Data'!F20</f>
        <v>27000</v>
      </c>
    </row>
    <row r="14" spans="1:2" ht="19.5" customHeight="1" x14ac:dyDescent="0.35">
      <c r="A14" s="22" t="s">
        <v>169</v>
      </c>
      <c r="B14" s="30">
        <f>'Raw Data'!F22</f>
        <v>143000</v>
      </c>
    </row>
    <row r="15" spans="1:2" ht="19.5" customHeight="1" x14ac:dyDescent="0.35">
      <c r="A15" s="24" t="s">
        <v>170</v>
      </c>
      <c r="B15" s="29">
        <f>B13+B14</f>
        <v>170000</v>
      </c>
    </row>
    <row r="16" spans="1:2" ht="19.5" customHeight="1" x14ac:dyDescent="0.35">
      <c r="A16" s="22" t="s">
        <v>171</v>
      </c>
      <c r="B16" s="40">
        <f>B13/B15</f>
        <v>0.1588235294117647</v>
      </c>
    </row>
    <row r="17" spans="1:2" ht="19.5" customHeight="1" x14ac:dyDescent="0.35">
      <c r="A17" s="24" t="s">
        <v>172</v>
      </c>
      <c r="B17" s="39">
        <f>B14/B15</f>
        <v>0.8411764705882353</v>
      </c>
    </row>
    <row r="18" spans="1:2" ht="19.5" customHeight="1" x14ac:dyDescent="0.35">
      <c r="A18" s="55" t="s">
        <v>173</v>
      </c>
      <c r="B18" s="56">
        <f>B11*(1-B12)*B16+B7*B17</f>
        <v>0.11551764705882353</v>
      </c>
    </row>
    <row r="19" spans="1:2" ht="18" customHeight="1" x14ac:dyDescent="0.35"/>
    <row r="20" spans="1:2" ht="19.5" customHeight="1" x14ac:dyDescent="0.35">
      <c r="A20" s="109" t="s">
        <v>174</v>
      </c>
      <c r="B20" s="110"/>
    </row>
    <row r="21" spans="1:2" ht="18" customHeight="1" x14ac:dyDescent="0.35">
      <c r="A21" s="21" t="s">
        <v>100</v>
      </c>
      <c r="B21" s="21" t="s">
        <v>67</v>
      </c>
    </row>
    <row r="22" spans="1:2" ht="19.5" customHeight="1" x14ac:dyDescent="0.35">
      <c r="A22" s="22" t="s">
        <v>175</v>
      </c>
      <c r="B22" s="30">
        <f>'Raw Data'!F11</f>
        <v>33000</v>
      </c>
    </row>
    <row r="23" spans="1:2" ht="19.5" customHeight="1" x14ac:dyDescent="0.35">
      <c r="A23" s="24" t="s">
        <v>176</v>
      </c>
      <c r="B23" s="29">
        <f>B22*(1-B12)</f>
        <v>24750</v>
      </c>
    </row>
    <row r="24" spans="1:2" ht="19.5" customHeight="1" x14ac:dyDescent="0.35">
      <c r="A24" s="22" t="s">
        <v>148</v>
      </c>
      <c r="B24" s="30">
        <f>'Raw Data'!F6</f>
        <v>5000</v>
      </c>
    </row>
    <row r="25" spans="1:2" ht="19.5" customHeight="1" x14ac:dyDescent="0.35">
      <c r="A25" s="24" t="s">
        <v>177</v>
      </c>
      <c r="B25" s="29">
        <f>B24*1.5</f>
        <v>7500</v>
      </c>
    </row>
    <row r="26" spans="1:2" ht="19.5" customHeight="1" x14ac:dyDescent="0.35">
      <c r="A26" s="55" t="s">
        <v>178</v>
      </c>
      <c r="B26" s="28">
        <f>B23+B24-B25</f>
        <v>22250</v>
      </c>
    </row>
    <row r="27" spans="1:2" ht="18" customHeight="1" x14ac:dyDescent="0.35"/>
    <row r="28" spans="1:2" ht="19.5" customHeight="1" x14ac:dyDescent="0.35">
      <c r="A28" s="109" t="s">
        <v>179</v>
      </c>
      <c r="B28" s="110"/>
    </row>
    <row r="29" spans="1:2" ht="18" customHeight="1" x14ac:dyDescent="0.35">
      <c r="A29" s="21" t="s">
        <v>100</v>
      </c>
      <c r="B29" s="21" t="s">
        <v>67</v>
      </c>
    </row>
    <row r="30" spans="1:2" ht="19.5" customHeight="1" x14ac:dyDescent="0.35">
      <c r="A30" s="22" t="s">
        <v>180</v>
      </c>
      <c r="B30" s="30">
        <f>Forecasting!G14*(1-B12)+Forecasting!G13-Forecasting!G13*1.5</f>
        <v>24460</v>
      </c>
    </row>
    <row r="31" spans="1:2" ht="18" customHeight="1" x14ac:dyDescent="0.35"/>
    <row r="32" spans="1:2" ht="19.5" customHeight="1" x14ac:dyDescent="0.35">
      <c r="A32" s="22" t="s">
        <v>181</v>
      </c>
      <c r="B32" s="30">
        <f>Forecasting!H14*(1-B12)+Forecasting!H13-Forecasting!H13*1.5</f>
        <v>26522</v>
      </c>
    </row>
    <row r="33" spans="1:2" ht="18" customHeight="1" x14ac:dyDescent="0.35"/>
    <row r="34" spans="1:2" ht="19.5" customHeight="1" x14ac:dyDescent="0.35">
      <c r="A34" s="22" t="s">
        <v>182</v>
      </c>
      <c r="B34" s="30">
        <f>Forecasting!I14*(1-B12)+Forecasting!I13-Forecasting!I13*1.5</f>
        <v>28747.749999999993</v>
      </c>
    </row>
    <row r="35" spans="1:2" ht="18" customHeight="1" x14ac:dyDescent="0.35"/>
    <row r="36" spans="1:2" ht="19.5" customHeight="1" x14ac:dyDescent="0.35">
      <c r="A36" s="22" t="s">
        <v>183</v>
      </c>
      <c r="B36" s="30">
        <f>Forecasting!J14*(1-B12)+Forecasting!J13-Forecasting!J13*1.5</f>
        <v>31149.895250000001</v>
      </c>
    </row>
    <row r="37" spans="1:2" ht="18" customHeight="1" x14ac:dyDescent="0.35"/>
    <row r="38" spans="1:2" ht="19.5" customHeight="1" x14ac:dyDescent="0.35">
      <c r="A38" s="22" t="s">
        <v>184</v>
      </c>
      <c r="B38" s="30">
        <f>Forecasting!K14*(1-B12)+Forecasting!K13-Forecasting!K13*1.5</f>
        <v>33742.043953749991</v>
      </c>
    </row>
    <row r="39" spans="1:2" ht="18" customHeight="1" x14ac:dyDescent="0.35"/>
    <row r="40" spans="1:2" ht="19.5" customHeight="1" x14ac:dyDescent="0.35">
      <c r="A40" s="55" t="s">
        <v>185</v>
      </c>
      <c r="B40" s="28">
        <f>B30/(1+B18)^1+B32/(1+B18)^2+B34/(1+B18)^3+B36/(1+B18)^4+B38/(1+B18)^5</f>
        <v>103600.54019312345</v>
      </c>
    </row>
    <row r="41" spans="1:2" ht="18" customHeight="1" x14ac:dyDescent="0.35"/>
    <row r="42" spans="1:2" ht="19.5" customHeight="1" x14ac:dyDescent="0.35">
      <c r="A42" s="109" t="s">
        <v>186</v>
      </c>
      <c r="B42" s="110"/>
    </row>
    <row r="43" spans="1:2" ht="18" customHeight="1" x14ac:dyDescent="0.35">
      <c r="A43" s="21" t="s">
        <v>100</v>
      </c>
      <c r="B43" s="21" t="s">
        <v>67</v>
      </c>
    </row>
    <row r="44" spans="1:2" ht="19.5" customHeight="1" x14ac:dyDescent="0.35">
      <c r="A44" s="22" t="s">
        <v>73</v>
      </c>
      <c r="B44" s="40">
        <f>'Raw Data'!B31</f>
        <v>0.05</v>
      </c>
    </row>
    <row r="45" spans="1:2" ht="19.5" customHeight="1" x14ac:dyDescent="0.35">
      <c r="A45" s="24" t="s">
        <v>184</v>
      </c>
      <c r="B45" s="29">
        <f>B38</f>
        <v>33742.043953749991</v>
      </c>
    </row>
    <row r="46" spans="1:2" ht="19.5" customHeight="1" x14ac:dyDescent="0.35">
      <c r="A46" s="55" t="s">
        <v>187</v>
      </c>
      <c r="B46" s="28">
        <f>B45*(1+B44)/(B18-B44)</f>
        <v>540757.30344266235</v>
      </c>
    </row>
    <row r="47" spans="1:2" ht="19.5" customHeight="1" x14ac:dyDescent="0.35">
      <c r="A47" s="24" t="s">
        <v>188</v>
      </c>
      <c r="B47" s="29">
        <f>B46/(1+B18)^5</f>
        <v>313054.65682148479</v>
      </c>
    </row>
    <row r="48" spans="1:2" ht="19.5" customHeight="1" x14ac:dyDescent="0.35">
      <c r="A48" s="55" t="s">
        <v>189</v>
      </c>
      <c r="B48" s="28">
        <f>B40+B47</f>
        <v>416655.19701460825</v>
      </c>
    </row>
    <row r="49" spans="1:2" ht="18" customHeight="1" x14ac:dyDescent="0.35"/>
    <row r="50" spans="1:2" ht="19.5" customHeight="1" x14ac:dyDescent="0.35">
      <c r="A50" s="109" t="s">
        <v>190</v>
      </c>
      <c r="B50" s="110"/>
    </row>
    <row r="51" spans="1:2" ht="18" customHeight="1" x14ac:dyDescent="0.35">
      <c r="A51" s="21" t="s">
        <v>100</v>
      </c>
      <c r="B51" s="21" t="s">
        <v>67</v>
      </c>
    </row>
    <row r="52" spans="1:2" ht="19.5" customHeight="1" x14ac:dyDescent="0.35">
      <c r="A52" s="22" t="s">
        <v>191</v>
      </c>
      <c r="B52" s="30">
        <f>'Raw Data'!F20</f>
        <v>27000</v>
      </c>
    </row>
    <row r="53" spans="1:2" ht="19.5" customHeight="1" x14ac:dyDescent="0.35">
      <c r="A53" s="24" t="s">
        <v>192</v>
      </c>
      <c r="B53" s="29">
        <f>'Raw Data'!F21</f>
        <v>20000</v>
      </c>
    </row>
    <row r="54" spans="1:2" ht="19.5" customHeight="1" x14ac:dyDescent="0.35">
      <c r="A54" s="55" t="s">
        <v>193</v>
      </c>
      <c r="B54" s="28">
        <f>B48-B52+B53</f>
        <v>409655.19701460825</v>
      </c>
    </row>
    <row r="55" spans="1:2" ht="19.5" customHeight="1" x14ac:dyDescent="0.35">
      <c r="A55" s="24" t="s">
        <v>72</v>
      </c>
      <c r="B55" s="29">
        <f>'Raw Data'!B30</f>
        <v>420</v>
      </c>
    </row>
    <row r="56" spans="1:2" ht="25.5" customHeight="1" x14ac:dyDescent="0.35">
      <c r="A56" s="57" t="s">
        <v>256</v>
      </c>
      <c r="B56" s="58">
        <f>B54/B55</f>
        <v>975.36951670144822</v>
      </c>
    </row>
    <row r="57" spans="1:2" ht="18" customHeight="1" x14ac:dyDescent="0.35"/>
    <row r="58" spans="1:2" ht="18" customHeight="1" x14ac:dyDescent="0.35"/>
    <row r="59" spans="1:2" ht="18" customHeight="1" x14ac:dyDescent="0.35"/>
    <row r="60" spans="1:2" ht="18" customHeight="1" x14ac:dyDescent="0.35"/>
    <row r="61" spans="1:2" ht="18" customHeight="1" x14ac:dyDescent="0.35"/>
    <row r="62" spans="1:2" ht="18" customHeight="1" x14ac:dyDescent="0.35"/>
    <row r="63" spans="1:2" ht="18" customHeight="1" x14ac:dyDescent="0.35"/>
    <row r="64" spans="1:2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7">
    <mergeCell ref="A50:B50"/>
    <mergeCell ref="A1:B1"/>
    <mergeCell ref="A2:B2"/>
    <mergeCell ref="A9:B9"/>
    <mergeCell ref="A20:B20"/>
    <mergeCell ref="A28:B28"/>
    <mergeCell ref="A42:B4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B74"/>
  <sheetViews>
    <sheetView showGridLines="0" topLeftCell="A10" zoomScaleNormal="100" workbookViewId="0">
      <selection activeCell="C7" sqref="C7"/>
    </sheetView>
  </sheetViews>
  <sheetFormatPr defaultColWidth="8.6328125" defaultRowHeight="14.5" x14ac:dyDescent="0.35"/>
  <cols>
    <col min="1" max="1" width="35" customWidth="1"/>
    <col min="2" max="2" width="31.453125" customWidth="1"/>
    <col min="3" max="3" width="50" customWidth="1"/>
  </cols>
  <sheetData>
    <row r="1" spans="1:2" ht="43" customHeight="1" x14ac:dyDescent="0.35">
      <c r="A1" s="113" t="s">
        <v>262</v>
      </c>
      <c r="B1" s="113"/>
    </row>
    <row r="2" spans="1:2" ht="19.5" customHeight="1" x14ac:dyDescent="0.35">
      <c r="A2" s="94" t="s">
        <v>194</v>
      </c>
      <c r="B2" s="94"/>
    </row>
    <row r="3" spans="1:2" ht="18" customHeight="1" x14ac:dyDescent="0.35">
      <c r="A3" s="59" t="s">
        <v>100</v>
      </c>
      <c r="B3" s="126" t="s">
        <v>67</v>
      </c>
    </row>
    <row r="4" spans="1:2" ht="18" customHeight="1" x14ac:dyDescent="0.35">
      <c r="A4" s="60" t="s">
        <v>169</v>
      </c>
      <c r="B4" s="124">
        <f>'Raw Data'!F22</f>
        <v>143000</v>
      </c>
    </row>
    <row r="5" spans="1:2" ht="18" customHeight="1" x14ac:dyDescent="0.35">
      <c r="A5" s="61" t="s">
        <v>72</v>
      </c>
      <c r="B5" s="125">
        <f>'Raw Data'!B30</f>
        <v>420</v>
      </c>
    </row>
    <row r="6" spans="1:2" ht="18" customHeight="1" x14ac:dyDescent="0.35">
      <c r="A6" s="62" t="s">
        <v>257</v>
      </c>
      <c r="B6" s="63">
        <f>B4/B5</f>
        <v>340.47619047619048</v>
      </c>
    </row>
    <row r="7" spans="1:2" ht="48" customHeight="1" x14ac:dyDescent="0.35">
      <c r="A7" s="64"/>
      <c r="B7" s="65"/>
    </row>
    <row r="8" spans="1:2" ht="19.5" customHeight="1" x14ac:dyDescent="0.35">
      <c r="A8" s="94" t="s">
        <v>195</v>
      </c>
      <c r="B8" s="94"/>
    </row>
    <row r="9" spans="1:2" ht="54" customHeight="1" x14ac:dyDescent="0.35">
      <c r="A9" s="95" t="s">
        <v>196</v>
      </c>
      <c r="B9" s="95"/>
    </row>
    <row r="10" spans="1:2" ht="19.5" customHeight="1" x14ac:dyDescent="0.35">
      <c r="A10" s="95"/>
      <c r="B10" s="95"/>
    </row>
    <row r="11" spans="1:2" ht="19.5" customHeight="1" x14ac:dyDescent="0.35">
      <c r="A11" s="95"/>
      <c r="B11" s="95"/>
    </row>
    <row r="12" spans="1:2" ht="19.5" customHeight="1" x14ac:dyDescent="0.35">
      <c r="A12" s="66"/>
      <c r="B12" s="67"/>
    </row>
    <row r="13" spans="1:2" ht="19.5" customHeight="1" x14ac:dyDescent="0.35">
      <c r="A13" s="66"/>
      <c r="B13" s="67"/>
    </row>
    <row r="14" spans="1:2" ht="19.5" customHeight="1" x14ac:dyDescent="0.35">
      <c r="A14" s="68"/>
      <c r="B14" s="69"/>
    </row>
    <row r="15" spans="1:2" ht="48" customHeight="1" x14ac:dyDescent="0.35">
      <c r="A15" s="64"/>
      <c r="B15" s="65"/>
    </row>
    <row r="16" spans="1:2" ht="18" customHeight="1" x14ac:dyDescent="0.35">
      <c r="A16" s="65"/>
      <c r="B16" s="65"/>
    </row>
    <row r="17" spans="1:2" ht="19.5" customHeight="1" x14ac:dyDescent="0.35">
      <c r="A17" s="70"/>
      <c r="B17" s="70"/>
    </row>
    <row r="18" spans="1:2" ht="18" customHeight="1" x14ac:dyDescent="0.35">
      <c r="A18" s="71"/>
      <c r="B18" s="71"/>
    </row>
    <row r="19" spans="1:2" ht="19.5" customHeight="1" x14ac:dyDescent="0.35">
      <c r="A19" s="66"/>
      <c r="B19" s="72"/>
    </row>
    <row r="20" spans="1:2" ht="19.5" customHeight="1" x14ac:dyDescent="0.35">
      <c r="A20" s="66"/>
      <c r="B20" s="72"/>
    </row>
    <row r="21" spans="1:2" ht="19.5" customHeight="1" x14ac:dyDescent="0.35">
      <c r="A21" s="66"/>
      <c r="B21" s="72"/>
    </row>
    <row r="22" spans="1:2" ht="19.5" customHeight="1" x14ac:dyDescent="0.35">
      <c r="A22" s="68"/>
      <c r="B22" s="73"/>
    </row>
    <row r="23" spans="1:2" ht="19.5" customHeight="1" x14ac:dyDescent="0.35">
      <c r="A23" s="66"/>
      <c r="B23" s="67"/>
    </row>
    <row r="24" spans="1:2" ht="18" customHeight="1" x14ac:dyDescent="0.35">
      <c r="A24" s="66"/>
      <c r="B24" s="67"/>
    </row>
    <row r="25" spans="1:2" ht="19.5" customHeight="1" x14ac:dyDescent="0.35">
      <c r="A25" s="68"/>
      <c r="B25" s="69"/>
    </row>
    <row r="26" spans="1:2" ht="19.5" customHeight="1" x14ac:dyDescent="0.35">
      <c r="A26" s="66"/>
      <c r="B26" s="72"/>
    </row>
    <row r="27" spans="1:2" ht="19.5" customHeight="1" x14ac:dyDescent="0.35">
      <c r="A27" s="66"/>
      <c r="B27" s="72"/>
    </row>
    <row r="28" spans="1:2" ht="19.5" customHeight="1" x14ac:dyDescent="0.35">
      <c r="A28" s="66"/>
      <c r="B28" s="72"/>
    </row>
    <row r="29" spans="1:2" ht="19.5" customHeight="1" x14ac:dyDescent="0.35">
      <c r="A29" s="68"/>
      <c r="B29" s="73"/>
    </row>
    <row r="30" spans="1:2" ht="18" customHeight="1" x14ac:dyDescent="0.35">
      <c r="A30" s="66"/>
      <c r="B30" s="74"/>
    </row>
    <row r="31" spans="1:2" ht="19.5" customHeight="1" x14ac:dyDescent="0.35">
      <c r="A31" s="68"/>
      <c r="B31" s="69"/>
    </row>
    <row r="32" spans="1:2" ht="19.5" customHeight="1" x14ac:dyDescent="0.35">
      <c r="A32" s="70"/>
      <c r="B32" s="70"/>
    </row>
    <row r="33" spans="1:2" ht="18" customHeight="1" x14ac:dyDescent="0.35">
      <c r="A33" s="71"/>
      <c r="B33" s="71"/>
    </row>
    <row r="34" spans="1:2" ht="48" customHeight="1" x14ac:dyDescent="0.35">
      <c r="A34" s="64"/>
      <c r="B34" s="65"/>
    </row>
    <row r="35" spans="1:2" ht="19.5" customHeight="1" x14ac:dyDescent="0.35">
      <c r="A35" s="66"/>
      <c r="B35" s="67"/>
    </row>
    <row r="36" spans="1:2" ht="19.5" customHeight="1" x14ac:dyDescent="0.35">
      <c r="A36" s="66"/>
      <c r="B36" s="75"/>
    </row>
    <row r="37" spans="1:2" ht="19.5" customHeight="1" x14ac:dyDescent="0.35">
      <c r="A37" s="68"/>
      <c r="B37" s="69"/>
    </row>
    <row r="38" spans="1:2" ht="18" customHeight="1" x14ac:dyDescent="0.35"/>
    <row r="39" spans="1:2" ht="18" customHeight="1" x14ac:dyDescent="0.35"/>
    <row r="40" spans="1:2" ht="18" customHeight="1" x14ac:dyDescent="0.35"/>
    <row r="41" spans="1:2" ht="18" customHeight="1" x14ac:dyDescent="0.35"/>
    <row r="42" spans="1:2" ht="18" customHeight="1" x14ac:dyDescent="0.35"/>
    <row r="43" spans="1:2" ht="18" customHeight="1" x14ac:dyDescent="0.35"/>
    <row r="44" spans="1:2" ht="18" customHeight="1" x14ac:dyDescent="0.35"/>
    <row r="45" spans="1:2" ht="18" customHeight="1" x14ac:dyDescent="0.35"/>
    <row r="46" spans="1:2" ht="18" customHeight="1" x14ac:dyDescent="0.35"/>
    <row r="47" spans="1:2" ht="18" customHeight="1" x14ac:dyDescent="0.35"/>
    <row r="48" spans="1:2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</sheetData>
  <mergeCells count="4">
    <mergeCell ref="A1:B1"/>
    <mergeCell ref="A2:B2"/>
    <mergeCell ref="A8:B8"/>
    <mergeCell ref="A9:B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B16"/>
  <sheetViews>
    <sheetView showGridLines="0" zoomScaleNormal="100" workbookViewId="0">
      <selection activeCell="E13" sqref="E13"/>
    </sheetView>
  </sheetViews>
  <sheetFormatPr defaultColWidth="8.6328125" defaultRowHeight="14.5" x14ac:dyDescent="0.35"/>
  <cols>
    <col min="1" max="1" width="49.7265625" customWidth="1"/>
    <col min="2" max="2" width="32.26953125" customWidth="1"/>
  </cols>
  <sheetData>
    <row r="1" spans="1:2" ht="21.75" customHeight="1" x14ac:dyDescent="0.35">
      <c r="A1" s="1" t="s">
        <v>263</v>
      </c>
      <c r="B1" s="1"/>
    </row>
    <row r="2" spans="1:2" ht="19.5" customHeight="1" x14ac:dyDescent="0.35">
      <c r="A2" s="94" t="s">
        <v>197</v>
      </c>
      <c r="B2" s="94"/>
    </row>
    <row r="3" spans="1:2" ht="18" customHeight="1" x14ac:dyDescent="0.35">
      <c r="A3" s="59" t="s">
        <v>100</v>
      </c>
      <c r="B3" s="59" t="s">
        <v>67</v>
      </c>
    </row>
    <row r="4" spans="1:2" ht="18" customHeight="1" x14ac:dyDescent="0.35">
      <c r="A4" s="60" t="s">
        <v>198</v>
      </c>
      <c r="B4" s="127">
        <f>'Raw Data'!F4</f>
        <v>120000</v>
      </c>
    </row>
    <row r="5" spans="1:2" ht="18" customHeight="1" x14ac:dyDescent="0.35">
      <c r="A5" s="61" t="s">
        <v>199</v>
      </c>
      <c r="B5" s="128">
        <f>'Raw Data'!F5</f>
        <v>82000</v>
      </c>
    </row>
    <row r="6" spans="1:2" ht="18" customHeight="1" x14ac:dyDescent="0.35">
      <c r="A6" s="60" t="s">
        <v>55</v>
      </c>
      <c r="B6" s="127">
        <f>'Raw Data'!F11</f>
        <v>33000</v>
      </c>
    </row>
    <row r="7" spans="1:2" ht="18" customHeight="1" x14ac:dyDescent="0.35">
      <c r="A7" s="61" t="s">
        <v>148</v>
      </c>
      <c r="B7" s="128">
        <f>'Raw Data'!F6</f>
        <v>5000</v>
      </c>
    </row>
    <row r="8" spans="1:2" ht="18" customHeight="1" x14ac:dyDescent="0.35">
      <c r="A8" s="62" t="s">
        <v>290</v>
      </c>
      <c r="B8" s="76">
        <f>B6+B7</f>
        <v>38000</v>
      </c>
    </row>
    <row r="10" spans="1:2" ht="19.5" customHeight="1" x14ac:dyDescent="0.35">
      <c r="A10" s="94" t="s">
        <v>200</v>
      </c>
      <c r="B10" s="94"/>
    </row>
    <row r="11" spans="1:2" ht="18" customHeight="1" x14ac:dyDescent="0.35">
      <c r="A11" s="59" t="s">
        <v>100</v>
      </c>
      <c r="B11" s="59" t="s">
        <v>67</v>
      </c>
    </row>
    <row r="12" spans="1:2" ht="18" customHeight="1" x14ac:dyDescent="0.35">
      <c r="A12" s="60" t="s">
        <v>201</v>
      </c>
      <c r="B12" s="127">
        <f>'Raw Data'!F19</f>
        <v>170000</v>
      </c>
    </row>
    <row r="13" spans="1:2" ht="18" customHeight="1" x14ac:dyDescent="0.35">
      <c r="A13" s="61" t="s">
        <v>202</v>
      </c>
      <c r="B13" s="128">
        <f>'Raw Data'!F20</f>
        <v>27000</v>
      </c>
    </row>
    <row r="14" spans="1:2" ht="18" customHeight="1" x14ac:dyDescent="0.35">
      <c r="A14" s="60" t="s">
        <v>203</v>
      </c>
      <c r="B14" s="127">
        <f>'Raw Data'!F21</f>
        <v>20000</v>
      </c>
    </row>
    <row r="15" spans="1:2" ht="18" customHeight="1" x14ac:dyDescent="0.35">
      <c r="A15" s="62" t="s">
        <v>289</v>
      </c>
      <c r="B15" s="76">
        <f>B12+B13-B14</f>
        <v>177000</v>
      </c>
    </row>
    <row r="16" spans="1:2" ht="18" customHeight="1" x14ac:dyDescent="0.35">
      <c r="A16" s="61" t="s">
        <v>204</v>
      </c>
      <c r="B16" s="77">
        <f>B15/B8</f>
        <v>4.6578947368421053</v>
      </c>
    </row>
  </sheetData>
  <mergeCells count="3">
    <mergeCell ref="A1:B1"/>
    <mergeCell ref="A2:B2"/>
    <mergeCell ref="A10:B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B21"/>
  <sheetViews>
    <sheetView showGridLines="0" topLeftCell="A6" zoomScaleNormal="100" workbookViewId="0">
      <selection activeCell="D11" sqref="D11"/>
    </sheetView>
  </sheetViews>
  <sheetFormatPr defaultColWidth="8.6328125" defaultRowHeight="14.5" x14ac:dyDescent="0.35"/>
  <cols>
    <col min="1" max="1" width="45.1796875" customWidth="1"/>
    <col min="2" max="2" width="29" customWidth="1"/>
  </cols>
  <sheetData>
    <row r="1" spans="1:2" ht="45" customHeight="1" x14ac:dyDescent="0.35">
      <c r="A1" s="113" t="s">
        <v>288</v>
      </c>
      <c r="B1" s="113"/>
    </row>
    <row r="2" spans="1:2" ht="19.5" customHeight="1" x14ac:dyDescent="0.35">
      <c r="A2" s="115" t="s">
        <v>205</v>
      </c>
      <c r="B2" s="116"/>
    </row>
    <row r="3" spans="1:2" ht="18" customHeight="1" x14ac:dyDescent="0.35">
      <c r="A3" s="59" t="s">
        <v>100</v>
      </c>
      <c r="B3" s="59" t="s">
        <v>67</v>
      </c>
    </row>
    <row r="4" spans="1:2" ht="18" customHeight="1" x14ac:dyDescent="0.35">
      <c r="A4" s="60" t="s">
        <v>280</v>
      </c>
      <c r="B4" s="129">
        <v>25</v>
      </c>
    </row>
    <row r="5" spans="1:2" ht="18" customHeight="1" x14ac:dyDescent="0.35">
      <c r="A5" s="61" t="s">
        <v>281</v>
      </c>
      <c r="B5" s="130">
        <v>18</v>
      </c>
    </row>
    <row r="6" spans="1:2" ht="18" customHeight="1" x14ac:dyDescent="0.35">
      <c r="A6" s="60" t="s">
        <v>282</v>
      </c>
      <c r="B6" s="129">
        <v>20</v>
      </c>
    </row>
    <row r="7" spans="1:2" ht="18" customHeight="1" x14ac:dyDescent="0.35">
      <c r="A7" s="78" t="s">
        <v>206</v>
      </c>
      <c r="B7" s="77">
        <f>AVERAGE(B4:B6)</f>
        <v>21</v>
      </c>
    </row>
    <row r="8" spans="1:2" ht="18" customHeight="1" x14ac:dyDescent="0.35">
      <c r="A8" s="60" t="s">
        <v>207</v>
      </c>
      <c r="B8" s="127">
        <f>'EBITDA &amp; EV'!B8</f>
        <v>38000</v>
      </c>
    </row>
    <row r="9" spans="1:2" ht="18" customHeight="1" x14ac:dyDescent="0.35">
      <c r="A9" s="61" t="s">
        <v>208</v>
      </c>
      <c r="B9" s="128">
        <f>B7*B8</f>
        <v>798000</v>
      </c>
    </row>
    <row r="10" spans="1:2" ht="18" customHeight="1" x14ac:dyDescent="0.35">
      <c r="A10" s="60" t="s">
        <v>209</v>
      </c>
      <c r="B10" s="127">
        <f>-'Raw Data'!F20+'Raw Data'!F21</f>
        <v>-7000</v>
      </c>
    </row>
    <row r="11" spans="1:2" ht="18" customHeight="1" x14ac:dyDescent="0.35">
      <c r="A11" s="61" t="s">
        <v>210</v>
      </c>
      <c r="B11" s="79">
        <f>B9+B10</f>
        <v>791000</v>
      </c>
    </row>
    <row r="12" spans="1:2" ht="18" customHeight="1" x14ac:dyDescent="0.35">
      <c r="A12" s="62" t="s">
        <v>283</v>
      </c>
      <c r="B12" s="76">
        <f>B11/'Raw Data'!B30</f>
        <v>1883.3333333333333</v>
      </c>
    </row>
    <row r="14" spans="1:2" ht="19.5" customHeight="1" x14ac:dyDescent="0.35">
      <c r="A14" s="117" t="s">
        <v>211</v>
      </c>
      <c r="B14" s="117"/>
    </row>
    <row r="15" spans="1:2" ht="18" customHeight="1" x14ac:dyDescent="0.35">
      <c r="A15" s="59" t="s">
        <v>100</v>
      </c>
      <c r="B15" s="59" t="s">
        <v>67</v>
      </c>
    </row>
    <row r="16" spans="1:2" ht="18" customHeight="1" x14ac:dyDescent="0.35">
      <c r="A16" s="60" t="s">
        <v>284</v>
      </c>
      <c r="B16" s="129">
        <v>30</v>
      </c>
    </row>
    <row r="17" spans="1:2" ht="18" customHeight="1" x14ac:dyDescent="0.35">
      <c r="A17" s="61" t="s">
        <v>285</v>
      </c>
      <c r="B17" s="130">
        <v>22</v>
      </c>
    </row>
    <row r="18" spans="1:2" ht="18" customHeight="1" x14ac:dyDescent="0.35">
      <c r="A18" s="60" t="s">
        <v>286</v>
      </c>
      <c r="B18" s="129">
        <v>24</v>
      </c>
    </row>
    <row r="19" spans="1:2" ht="18" customHeight="1" x14ac:dyDescent="0.35">
      <c r="A19" s="78" t="s">
        <v>212</v>
      </c>
      <c r="B19" s="130">
        <f>AVERAGE(B16:B18)</f>
        <v>25.333333333333332</v>
      </c>
    </row>
    <row r="20" spans="1:2" ht="18" customHeight="1" x14ac:dyDescent="0.35">
      <c r="A20" s="60" t="s">
        <v>213</v>
      </c>
      <c r="B20" s="131">
        <f>'Raw Data'!F15/'Raw Data'!B30</f>
        <v>57.678571428571431</v>
      </c>
    </row>
    <row r="21" spans="1:2" ht="18" customHeight="1" x14ac:dyDescent="0.35">
      <c r="A21" s="62" t="s">
        <v>287</v>
      </c>
      <c r="B21" s="132">
        <f>B19*B20</f>
        <v>1461.1904761904761</v>
      </c>
    </row>
  </sheetData>
  <mergeCells count="3">
    <mergeCell ref="A1:B1"/>
    <mergeCell ref="A2:B2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B11"/>
  <sheetViews>
    <sheetView showGridLines="0" topLeftCell="A2" zoomScaleNormal="100" workbookViewId="0">
      <selection activeCell="D5" sqref="D5"/>
    </sheetView>
  </sheetViews>
  <sheetFormatPr defaultColWidth="8.6328125" defaultRowHeight="14.5" x14ac:dyDescent="0.35"/>
  <cols>
    <col min="1" max="1" width="35" customWidth="1"/>
    <col min="2" max="2" width="18" customWidth="1"/>
  </cols>
  <sheetData>
    <row r="1" spans="1:2" ht="53" customHeight="1" x14ac:dyDescent="0.35">
      <c r="A1" s="113" t="s">
        <v>264</v>
      </c>
      <c r="B1" s="113"/>
    </row>
    <row r="2" spans="1:2" ht="19.5" customHeight="1" x14ac:dyDescent="0.35">
      <c r="A2" s="114" t="s">
        <v>214</v>
      </c>
      <c r="B2" s="114"/>
    </row>
    <row r="3" spans="1:2" ht="60" customHeight="1" x14ac:dyDescent="0.35">
      <c r="A3" s="95" t="s">
        <v>279</v>
      </c>
      <c r="B3" s="95"/>
    </row>
    <row r="4" spans="1:2" ht="19.5" customHeight="1" x14ac:dyDescent="0.35">
      <c r="A4" s="95"/>
      <c r="B4" s="95"/>
    </row>
    <row r="5" spans="1:2" ht="19.5" customHeight="1" x14ac:dyDescent="0.35">
      <c r="A5" s="95"/>
      <c r="B5" s="95"/>
    </row>
    <row r="7" spans="1:2" ht="19.5" customHeight="1" x14ac:dyDescent="0.35">
      <c r="A7" s="94" t="s">
        <v>215</v>
      </c>
      <c r="B7" s="94"/>
    </row>
    <row r="8" spans="1:2" ht="18" customHeight="1" x14ac:dyDescent="0.35">
      <c r="A8" s="59" t="s">
        <v>100</v>
      </c>
      <c r="B8" s="59" t="s">
        <v>67</v>
      </c>
    </row>
    <row r="9" spans="1:2" ht="18" customHeight="1" x14ac:dyDescent="0.35">
      <c r="A9" s="60" t="s">
        <v>216</v>
      </c>
      <c r="B9" s="127">
        <f>'Raw Data'!F19</f>
        <v>170000</v>
      </c>
    </row>
    <row r="10" spans="1:2" ht="18" customHeight="1" x14ac:dyDescent="0.35">
      <c r="A10" s="61" t="s">
        <v>217</v>
      </c>
      <c r="B10" s="133">
        <v>0.15</v>
      </c>
    </row>
    <row r="11" spans="1:2" ht="18" customHeight="1" x14ac:dyDescent="0.35">
      <c r="A11" s="62" t="s">
        <v>278</v>
      </c>
      <c r="B11" s="76">
        <f>B9*(1+B10)</f>
        <v>195499.99999999997</v>
      </c>
    </row>
  </sheetData>
  <mergeCells count="4">
    <mergeCell ref="A1:B1"/>
    <mergeCell ref="A2:B2"/>
    <mergeCell ref="A3:B5"/>
    <mergeCell ref="A7:B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C79"/>
  <sheetViews>
    <sheetView showGridLines="0" topLeftCell="A10" zoomScaleNormal="100" workbookViewId="0">
      <selection activeCell="A2" sqref="A2:C2"/>
    </sheetView>
  </sheetViews>
  <sheetFormatPr defaultColWidth="8.6328125" defaultRowHeight="14.5" x14ac:dyDescent="0.35"/>
  <cols>
    <col min="1" max="1" width="35" customWidth="1"/>
    <col min="2" max="2" width="28.36328125" customWidth="1"/>
    <col min="3" max="3" width="50" customWidth="1"/>
  </cols>
  <sheetData>
    <row r="1" spans="1:3" ht="21.75" customHeight="1" x14ac:dyDescent="0.35">
      <c r="A1" s="1" t="s">
        <v>265</v>
      </c>
      <c r="B1" s="1"/>
      <c r="C1" s="1"/>
    </row>
    <row r="2" spans="1:3" ht="19.5" customHeight="1" x14ac:dyDescent="0.35">
      <c r="A2" s="96" t="s">
        <v>275</v>
      </c>
      <c r="B2" s="96"/>
      <c r="C2" s="96"/>
    </row>
    <row r="3" spans="1:3" ht="48" customHeight="1" x14ac:dyDescent="0.35">
      <c r="A3" s="97" t="s">
        <v>218</v>
      </c>
      <c r="B3" s="98" t="s">
        <v>276</v>
      </c>
      <c r="C3" s="98"/>
    </row>
    <row r="4" spans="1:3" ht="18" customHeight="1" x14ac:dyDescent="0.35">
      <c r="A4" s="97"/>
      <c r="B4" s="98"/>
      <c r="C4" s="98"/>
    </row>
    <row r="5" spans="1:3" ht="48" customHeight="1" x14ac:dyDescent="0.35">
      <c r="A5" s="99" t="s">
        <v>219</v>
      </c>
      <c r="B5" s="100" t="s">
        <v>277</v>
      </c>
      <c r="C5" s="100"/>
    </row>
    <row r="6" spans="1:3" ht="18" customHeight="1" x14ac:dyDescent="0.35">
      <c r="A6" s="99"/>
      <c r="B6" s="100"/>
      <c r="C6" s="100"/>
    </row>
    <row r="7" spans="1:3" ht="18" customHeight="1" x14ac:dyDescent="0.35"/>
    <row r="8" spans="1:3" ht="19.5" customHeight="1" x14ac:dyDescent="0.35">
      <c r="A8" s="53" t="s">
        <v>220</v>
      </c>
      <c r="B8" s="80"/>
    </row>
    <row r="9" spans="1:3" ht="18" customHeight="1" x14ac:dyDescent="0.35">
      <c r="A9" s="21" t="s">
        <v>100</v>
      </c>
      <c r="B9" s="21" t="s">
        <v>67</v>
      </c>
    </row>
    <row r="10" spans="1:3" ht="19.5" customHeight="1" x14ac:dyDescent="0.35">
      <c r="A10" s="22" t="s">
        <v>221</v>
      </c>
      <c r="B10" s="30">
        <f>'Raw Data'!B28</f>
        <v>1.1000000000000001</v>
      </c>
    </row>
    <row r="11" spans="1:3" ht="19.5" customHeight="1" x14ac:dyDescent="0.35">
      <c r="A11" s="24" t="s">
        <v>168</v>
      </c>
      <c r="B11" s="29">
        <f>'Raw Data'!F20</f>
        <v>27000</v>
      </c>
    </row>
    <row r="12" spans="1:3" ht="19.5" customHeight="1" x14ac:dyDescent="0.35">
      <c r="A12" s="22" t="s">
        <v>169</v>
      </c>
      <c r="B12" s="30">
        <f>'Raw Data'!F22</f>
        <v>143000</v>
      </c>
    </row>
    <row r="13" spans="1:3" ht="19.5" customHeight="1" x14ac:dyDescent="0.35">
      <c r="A13" s="24" t="s">
        <v>222</v>
      </c>
      <c r="B13" s="47">
        <f>B11/B12</f>
        <v>0.1888111888111888</v>
      </c>
    </row>
    <row r="14" spans="1:3" ht="19.5" customHeight="1" x14ac:dyDescent="0.35">
      <c r="A14" s="22" t="s">
        <v>53</v>
      </c>
      <c r="B14" s="40">
        <f>'Raw Data'!B8</f>
        <v>0.25</v>
      </c>
    </row>
    <row r="15" spans="1:3" ht="19.5" customHeight="1" x14ac:dyDescent="0.35">
      <c r="A15" s="55" t="s">
        <v>223</v>
      </c>
      <c r="B15" s="81">
        <f>B10/(1+(1-B14)*B13)</f>
        <v>0.96355283307810113</v>
      </c>
    </row>
    <row r="16" spans="1:3" ht="19.5" customHeight="1" x14ac:dyDescent="0.35">
      <c r="A16" s="55" t="s">
        <v>224</v>
      </c>
      <c r="B16" s="81">
        <f>B15*(1+(1-B14)*B13)</f>
        <v>1.1000000000000001</v>
      </c>
    </row>
    <row r="17" spans="1:3" ht="18" customHeight="1" x14ac:dyDescent="0.35">
      <c r="A17" s="65"/>
      <c r="B17" s="65"/>
      <c r="C17" s="65"/>
    </row>
    <row r="18" spans="1:3" ht="19.5" customHeight="1" x14ac:dyDescent="0.35">
      <c r="A18" s="64"/>
      <c r="B18" s="65"/>
      <c r="C18" s="65"/>
    </row>
    <row r="19" spans="1:3" ht="48" customHeight="1" x14ac:dyDescent="0.35">
      <c r="A19" s="68"/>
      <c r="B19" s="82"/>
      <c r="C19" s="65"/>
    </row>
    <row r="20" spans="1:3" ht="18" customHeight="1" x14ac:dyDescent="0.35">
      <c r="A20" s="65"/>
      <c r="B20" s="65"/>
      <c r="C20" s="65"/>
    </row>
    <row r="21" spans="1:3" ht="48" customHeight="1" x14ac:dyDescent="0.35">
      <c r="A21" s="68"/>
      <c r="B21" s="82"/>
      <c r="C21" s="65"/>
    </row>
    <row r="22" spans="1:3" ht="18" customHeight="1" x14ac:dyDescent="0.35">
      <c r="A22" s="65"/>
      <c r="B22" s="65"/>
      <c r="C22" s="65"/>
    </row>
    <row r="23" spans="1:3" ht="48" customHeight="1" x14ac:dyDescent="0.35">
      <c r="A23" s="68"/>
      <c r="B23" s="82"/>
      <c r="C23" s="65"/>
    </row>
    <row r="24" spans="1:3" ht="18" customHeight="1" x14ac:dyDescent="0.35">
      <c r="A24" s="65"/>
      <c r="B24" s="65"/>
      <c r="C24" s="65"/>
    </row>
    <row r="25" spans="1:3" ht="48" customHeight="1" x14ac:dyDescent="0.35">
      <c r="A25" s="68"/>
      <c r="B25" s="82"/>
      <c r="C25" s="65"/>
    </row>
    <row r="26" spans="1:3" ht="18" customHeight="1" x14ac:dyDescent="0.35"/>
    <row r="27" spans="1:3" ht="18" customHeight="1" x14ac:dyDescent="0.35"/>
    <row r="28" spans="1:3" ht="18" customHeight="1" x14ac:dyDescent="0.35"/>
    <row r="29" spans="1:3" ht="18" customHeight="1" x14ac:dyDescent="0.35"/>
    <row r="30" spans="1:3" ht="18" customHeight="1" x14ac:dyDescent="0.35"/>
    <row r="31" spans="1:3" ht="18" customHeight="1" x14ac:dyDescent="0.35"/>
    <row r="32" spans="1:3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6">
    <mergeCell ref="A1:C1"/>
    <mergeCell ref="A2:C2"/>
    <mergeCell ref="A3:A4"/>
    <mergeCell ref="B3:C4"/>
    <mergeCell ref="A5:A6"/>
    <mergeCell ref="B5:C6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B10"/>
  <sheetViews>
    <sheetView showGridLines="0" zoomScaleNormal="100" workbookViewId="0">
      <selection activeCell="B11" sqref="B11"/>
    </sheetView>
  </sheetViews>
  <sheetFormatPr defaultColWidth="8.6328125" defaultRowHeight="14.5" x14ac:dyDescent="0.35"/>
  <cols>
    <col min="1" max="1" width="28" customWidth="1"/>
    <col min="2" max="2" width="70" customWidth="1"/>
  </cols>
  <sheetData>
    <row r="1" spans="1:2" ht="21.75" customHeight="1" x14ac:dyDescent="0.35">
      <c r="A1" s="1" t="s">
        <v>266</v>
      </c>
      <c r="B1" s="1"/>
    </row>
    <row r="2" spans="1:2" ht="18" customHeight="1" x14ac:dyDescent="0.35">
      <c r="A2" s="59" t="s">
        <v>225</v>
      </c>
      <c r="B2" s="59" t="s">
        <v>76</v>
      </c>
    </row>
    <row r="3" spans="1:2" ht="48" customHeight="1" x14ac:dyDescent="0.35">
      <c r="A3" s="101" t="s">
        <v>226</v>
      </c>
      <c r="B3" s="102" t="s">
        <v>272</v>
      </c>
    </row>
    <row r="4" spans="1:2" ht="18" customHeight="1" x14ac:dyDescent="0.35">
      <c r="A4" s="101"/>
      <c r="B4" s="101"/>
    </row>
    <row r="5" spans="1:2" ht="48" customHeight="1" x14ac:dyDescent="0.35">
      <c r="A5" s="103" t="s">
        <v>227</v>
      </c>
      <c r="B5" s="104" t="s">
        <v>228</v>
      </c>
    </row>
    <row r="6" spans="1:2" ht="18" customHeight="1" x14ac:dyDescent="0.35">
      <c r="A6" s="103"/>
      <c r="B6" s="103"/>
    </row>
    <row r="7" spans="1:2" ht="48" customHeight="1" x14ac:dyDescent="0.35">
      <c r="A7" s="101" t="s">
        <v>229</v>
      </c>
      <c r="B7" s="102" t="s">
        <v>273</v>
      </c>
    </row>
    <row r="8" spans="1:2" ht="18" customHeight="1" x14ac:dyDescent="0.35">
      <c r="A8" s="101"/>
      <c r="B8" s="101"/>
    </row>
    <row r="9" spans="1:2" ht="48" customHeight="1" x14ac:dyDescent="0.35">
      <c r="A9" s="103" t="s">
        <v>230</v>
      </c>
      <c r="B9" s="104" t="s">
        <v>274</v>
      </c>
    </row>
    <row r="10" spans="1:2" ht="18" customHeight="1" x14ac:dyDescent="0.35">
      <c r="A10" s="103"/>
      <c r="B10" s="103"/>
    </row>
  </sheetData>
  <mergeCells count="9">
    <mergeCell ref="A7:A8"/>
    <mergeCell ref="B7:B8"/>
    <mergeCell ref="A9:A10"/>
    <mergeCell ref="B9:B10"/>
    <mergeCell ref="A1:B1"/>
    <mergeCell ref="A3:A4"/>
    <mergeCell ref="B3:B4"/>
    <mergeCell ref="A5:A6"/>
    <mergeCell ref="B5:B6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79"/>
  <sheetViews>
    <sheetView showGridLines="0" zoomScaleNormal="100" workbookViewId="0">
      <selection activeCell="B14" sqref="B14:F14"/>
    </sheetView>
  </sheetViews>
  <sheetFormatPr defaultColWidth="8.6328125" defaultRowHeight="14.5" x14ac:dyDescent="0.35"/>
  <cols>
    <col min="1" max="1" width="20" customWidth="1"/>
    <col min="2" max="6" width="16" customWidth="1"/>
  </cols>
  <sheetData>
    <row r="1" spans="1:6" ht="21.75" customHeight="1" x14ac:dyDescent="0.35">
      <c r="A1" s="14" t="s">
        <v>270</v>
      </c>
      <c r="B1" s="14"/>
      <c r="C1" s="14"/>
      <c r="D1" s="14"/>
      <c r="E1" s="14"/>
      <c r="F1" s="14"/>
    </row>
    <row r="2" spans="1:6" ht="19.5" customHeight="1" x14ac:dyDescent="0.35">
      <c r="A2" s="105" t="s">
        <v>231</v>
      </c>
      <c r="B2" s="105"/>
      <c r="C2" s="105"/>
      <c r="D2" s="105"/>
      <c r="E2" s="105"/>
      <c r="F2" s="105"/>
    </row>
    <row r="3" spans="1:6" ht="18" customHeight="1" x14ac:dyDescent="0.35">
      <c r="A3" s="21" t="s">
        <v>232</v>
      </c>
      <c r="B3" s="83">
        <v>0.03</v>
      </c>
      <c r="C3" s="83">
        <v>0.04</v>
      </c>
      <c r="D3" s="83">
        <v>0.05</v>
      </c>
      <c r="E3" s="83">
        <v>0.06</v>
      </c>
    </row>
    <row r="4" spans="1:6" ht="21.75" customHeight="1" x14ac:dyDescent="0.35">
      <c r="A4" s="84">
        <v>0.08</v>
      </c>
      <c r="B4" s="85">
        <f>IF($A4&lt;=$B3,"N/A",(('DCF Valuation'!B30/($A4)^1+'DCF Valuation'!B32/($A4)^2+'DCF Valuation'!B34/($A4)^3+'DCF Valuation'!B36/($A4)^4+'DCF Valuation'!B38/($A4)^5+('DCF Valuation'!B38*(1+$B3)/($A4-$B3))/($A4)^5)-'Raw Data'!F20+'Raw Data'!F21)/'Raw Data'!B30)</f>
        <v>531528062.24205369</v>
      </c>
      <c r="C4" s="85">
        <f>IF($A4&lt;=$C3,"N/A",(('DCF Valuation'!B30/($A4)^1+'DCF Valuation'!B32/($A4)^2+'DCF Valuation'!B34/($A4)^3+'DCF Valuation'!B36/($A4)^4+'DCF Valuation'!B38/($A4)^5+('DCF Valuation'!B38*(1+$C3)/($A4-$C3))/($A4)^5)-'Raw Data'!F20+'Raw Data'!F21)/'Raw Data'!B30)</f>
        <v>663921335.98636413</v>
      </c>
      <c r="D4" s="85">
        <f>IF($A4&lt;=$D3,"N/A",(('DCF Valuation'!B30/($A4)^1+'DCF Valuation'!B32/($A4)^2+'DCF Valuation'!B34/($A4)^3+'DCF Valuation'!B36/($A4)^4+'DCF Valuation'!B38/($A4)^5+('DCF Valuation'!B38*(1+$D3)/($A4-$D3))/($A4)^5)-'Raw Data'!F20+'Raw Data'!F21)/'Raw Data'!B30)</f>
        <v>884576792.22688186</v>
      </c>
      <c r="E4" s="85">
        <f>IF($A4&lt;=$E3,"N/A",(('DCF Valuation'!B30/($A4)^1+'DCF Valuation'!B32/($A4)^2+'DCF Valuation'!B34/($A4)^3+'DCF Valuation'!B36/($A4)^4+'DCF Valuation'!B38/($A4)^5+('DCF Valuation'!B38*(1+$E3)/($A4-$E3))/($A4)^5)-'Raw Data'!F20+'Raw Data'!F21)/'Raw Data'!B30)</f>
        <v>1325887704.7079172</v>
      </c>
    </row>
    <row r="5" spans="1:6" ht="21.75" customHeight="1" x14ac:dyDescent="0.35">
      <c r="A5" s="84">
        <v>0.09</v>
      </c>
      <c r="B5" s="85">
        <f>IF($A5&lt;=$B3,"N/A",(('DCF Valuation'!B30/($A5)^1+'DCF Valuation'!B32/($A5)^2+'DCF Valuation'!B34/($A5)^3+'DCF Valuation'!B36/($A5)^4+'DCF Valuation'!B38/($A5)^5+('DCF Valuation'!B38*(1+$B3)/($A5-$B3))/($A5)^5)-'Raw Data'!F20+'Raw Data'!F21)/'Raw Data'!B30)</f>
        <v>248396493.36087769</v>
      </c>
      <c r="C5" s="85">
        <f>IF($A5&lt;=$C3,"N/A",(('DCF Valuation'!B30/($A5)^1+'DCF Valuation'!B32/($A5)^2+'DCF Valuation'!B34/($A5)^3+'DCF Valuation'!B36/($A5)^4+'DCF Valuation'!B38/($A5)^5+('DCF Valuation'!B38*(1+$C3)/($A5-$C3))/($A5)^5)-'Raw Data'!F20+'Raw Data'!F21)/'Raw Data'!B30)</f>
        <v>297829245.75294209</v>
      </c>
      <c r="D5" s="85">
        <f>IF($A5&lt;=$D3,"N/A",(('DCF Valuation'!B30/($A5)^1+'DCF Valuation'!B32/($A5)^2+'DCF Valuation'!B34/($A5)^3+'DCF Valuation'!B36/($A5)^4+'DCF Valuation'!B38/($A5)^5+('DCF Valuation'!B38*(1+$D3)/($A5-$D3))/($A5)^5)-'Raw Data'!F20+'Raw Data'!F21)/'Raw Data'!B30)</f>
        <v>371978374.34103858</v>
      </c>
      <c r="E5" s="85">
        <f>IF($A5&lt;=$E3,"N/A",(('DCF Valuation'!B30/($A5)^1+'DCF Valuation'!B32/($A5)^2+'DCF Valuation'!B34/($A5)^3+'DCF Valuation'!B36/($A5)^4+'DCF Valuation'!B38/($A5)^5+('DCF Valuation'!B38*(1+$E3)/($A5-$E3))/($A5)^5)-'Raw Data'!F20+'Raw Data'!F21)/'Raw Data'!B30)</f>
        <v>495560255.32119954</v>
      </c>
    </row>
    <row r="6" spans="1:6" ht="21.75" customHeight="1" x14ac:dyDescent="0.35">
      <c r="A6" s="84">
        <v>0.1</v>
      </c>
      <c r="B6" s="85">
        <f>IF($A6&lt;=$B3,"N/A",(('DCF Valuation'!B30/($A6)^1+'DCF Valuation'!B32/($A6)^2+'DCF Valuation'!B34/($A6)^3+'DCF Valuation'!B36/($A6)^4+'DCF Valuation'!B38/($A6)^5+('DCF Valuation'!B38*(1+$B3)/($A6-$B3))/($A6)^5)-'Raw Data'!F20+'Raw Data'!F21)/'Raw Data'!B30)</f>
        <v>127062734.35671759</v>
      </c>
      <c r="C6" s="85">
        <f>IF($A6&lt;=$C3,"N/A",(('DCF Valuation'!B30/($A6)^1+'DCF Valuation'!B32/($A6)^2+'DCF Valuation'!B34/($A6)^3+'DCF Valuation'!B36/($A6)^4+'DCF Valuation'!B38/($A6)^5+('DCF Valuation'!B38*(1+$C3)/($A6-$C3))/($A6)^5)-'Raw Data'!F20+'Raw Data'!F21)/'Raw Data'!B30)</f>
        <v>148103691.470734</v>
      </c>
      <c r="D6" s="85">
        <f>IF($A6&lt;=$D3,"N/A",(('DCF Valuation'!B30/($A6)^1+'DCF Valuation'!B32/($A6)^2+'DCF Valuation'!B34/($A6)^3+'DCF Valuation'!B36/($A6)^4+'DCF Valuation'!B38/($A6)^5+('DCF Valuation'!B38*(1+$D3)/($A6-$D3))/($A6)^5)-'Raw Data'!F20+'Raw Data'!F21)/'Raw Data'!B30)</f>
        <v>177561031.43035701</v>
      </c>
      <c r="E6" s="85">
        <f>IF($A6&lt;=$E3,"N/A",(('DCF Valuation'!B30/($A6)^1+'DCF Valuation'!B32/($A6)^2+'DCF Valuation'!B34/($A6)^3+'DCF Valuation'!B36/($A6)^4+'DCF Valuation'!B38/($A6)^5+('DCF Valuation'!B38*(1+$E3)/($A6-$E3))/($A6)^5)-'Raw Data'!F20+'Raw Data'!F21)/'Raw Data'!B30)</f>
        <v>221747041.36979145</v>
      </c>
    </row>
    <row r="7" spans="1:6" ht="21.75" customHeight="1" x14ac:dyDescent="0.35">
      <c r="A7" s="84">
        <v>0.11</v>
      </c>
      <c r="B7" s="85">
        <f>IF($A7&lt;=$B3,"N/A",(('DCF Valuation'!B30/($A7)^1+'DCF Valuation'!B32/($A7)^2+'DCF Valuation'!B34/($A7)^3+'DCF Valuation'!B36/($A7)^4+'DCF Valuation'!B38/($A7)^5+('DCF Valuation'!B38*(1+$B3)/($A7-$B3))/($A7)^5)-'Raw Data'!F20+'Raw Data'!F21)/'Raw Data'!B30)</f>
        <v>69777359.101225421</v>
      </c>
      <c r="C7" s="85">
        <f>IF($A7&lt;=$C3,"N/A",(('DCF Valuation'!B30/($A7)^1+'DCF Valuation'!B32/($A7)^2+'DCF Valuation'!B34/($A7)^3+'DCF Valuation'!B36/($A7)^4+'DCF Valuation'!B38/($A7)^5+('DCF Valuation'!B38*(1+$C3)/($A7-$C3))/($A7)^5)-'Raw Data'!F20+'Raw Data'!F21)/'Raw Data'!B30)</f>
        <v>79665021.33663176</v>
      </c>
      <c r="D7" s="85">
        <f>IF($A7&lt;=$D3,"N/A",(('DCF Valuation'!B30/($A7)^1+'DCF Valuation'!B32/($A7)^2+'DCF Valuation'!B34/($A7)^3+'DCF Valuation'!B36/($A7)^4+'DCF Valuation'!B38/($A7)^5+('DCF Valuation'!B38*(1+$D3)/($A7-$D3))/($A7)^5)-'Raw Data'!F20+'Raw Data'!F21)/'Raw Data'!B30)</f>
        <v>92848570.983840212</v>
      </c>
      <c r="E7" s="85">
        <f>IF($A7&lt;=$E3,"N/A",(('DCF Valuation'!B30/($A7)^1+'DCF Valuation'!B32/($A7)^2+'DCF Valuation'!B34/($A7)^3+'DCF Valuation'!B36/($A7)^4+'DCF Valuation'!B38/($A7)^5+('DCF Valuation'!B38*(1+$E3)/($A7-$E3))/($A7)^5)-'Raw Data'!F20+'Raw Data'!F21)/'Raw Data'!B30)</f>
        <v>111305540.48993203</v>
      </c>
    </row>
    <row r="8" spans="1:6" ht="21.75" customHeight="1" x14ac:dyDescent="0.35">
      <c r="A8" s="84">
        <v>0.12</v>
      </c>
      <c r="B8" s="85">
        <f>IF($A8&lt;=$B3,"N/A",(('DCF Valuation'!B30/($A8)^1+'DCF Valuation'!B32/($A8)^2+'DCF Valuation'!B34/($A8)^3+'DCF Valuation'!B36/($A8)^4+'DCF Valuation'!B38/($A8)^5+('DCF Valuation'!B38*(1+$B3)/($A8-$B3))/($A8)^5)-'Raw Data'!F20+'Raw Data'!F21)/'Raw Data'!B30)</f>
        <v>40580417.8372446</v>
      </c>
      <c r="C8" s="85">
        <f>IF($A8&lt;=$C3,"N/A",(('DCF Valuation'!B30/($A8)^1+'DCF Valuation'!B32/($A8)^2+'DCF Valuation'!B34/($A8)^3+'DCF Valuation'!B36/($A8)^4+'DCF Valuation'!B38/($A8)^5+('DCF Valuation'!B38*(1+$C3)/($A8-$C3))/($A8)^5)-'Raw Data'!F20+'Raw Data'!F21)/'Raw Data'!B30)</f>
        <v>45602703.28132081</v>
      </c>
      <c r="D8" s="85">
        <f>IF($A8&lt;=$D3,"N/A",(('DCF Valuation'!B30/($A8)^1+'DCF Valuation'!B32/($A8)^2+'DCF Valuation'!B34/($A8)^3+'DCF Valuation'!B36/($A8)^4+'DCF Valuation'!B38/($A8)^5+('DCF Valuation'!B38*(1+$D3)/($A8-$D3))/($A8)^5)-'Raw Data'!F20+'Raw Data'!F21)/'Raw Data'!B30)</f>
        <v>52059927.42370449</v>
      </c>
      <c r="E8" s="85">
        <f>IF($A8&lt;=$E3,"N/A",(('DCF Valuation'!B30/($A8)^1+'DCF Valuation'!B32/($A8)^2+'DCF Valuation'!B34/($A8)^3+'DCF Valuation'!B36/($A8)^4+'DCF Valuation'!B38/($A8)^5+('DCF Valuation'!B38*(1+$E3)/($A8-$E3))/($A8)^5)-'Raw Data'!F20+'Raw Data'!F21)/'Raw Data'!B30)</f>
        <v>60669559.613549426</v>
      </c>
    </row>
    <row r="9" spans="1:6" ht="18" customHeight="1" x14ac:dyDescent="0.35">
      <c r="A9" s="86"/>
      <c r="B9" s="86"/>
      <c r="C9" s="86"/>
      <c r="D9" s="86"/>
      <c r="E9" s="86"/>
    </row>
    <row r="10" spans="1:6" ht="18" customHeight="1" x14ac:dyDescent="0.35">
      <c r="A10" s="86"/>
      <c r="B10" s="86"/>
      <c r="C10" s="86"/>
      <c r="D10" s="86"/>
      <c r="E10" s="86"/>
    </row>
    <row r="11" spans="1:6" ht="19.5" customHeight="1" x14ac:dyDescent="0.35">
      <c r="A11" s="8" t="s">
        <v>233</v>
      </c>
      <c r="B11" s="8"/>
      <c r="C11" s="8"/>
      <c r="D11" s="8"/>
      <c r="E11" s="8"/>
      <c r="F11" s="8"/>
    </row>
    <row r="12" spans="1:6" ht="48" customHeight="1" x14ac:dyDescent="0.35">
      <c r="A12" s="17" t="s">
        <v>234</v>
      </c>
      <c r="B12" s="4" t="s">
        <v>235</v>
      </c>
      <c r="C12" s="4"/>
      <c r="D12" s="4"/>
      <c r="E12" s="4"/>
      <c r="F12" s="4"/>
    </row>
    <row r="13" spans="1:6" ht="48" customHeight="1" x14ac:dyDescent="0.35">
      <c r="A13" s="20" t="s">
        <v>236</v>
      </c>
      <c r="B13" s="3" t="s">
        <v>271</v>
      </c>
      <c r="C13" s="3"/>
      <c r="D13" s="3"/>
      <c r="E13" s="3"/>
      <c r="F13" s="3"/>
    </row>
    <row r="14" spans="1:6" ht="48" customHeight="1" x14ac:dyDescent="0.35">
      <c r="A14" s="17" t="s">
        <v>237</v>
      </c>
      <c r="B14" s="4" t="s">
        <v>238</v>
      </c>
      <c r="C14" s="4"/>
      <c r="D14" s="4"/>
      <c r="E14" s="4"/>
      <c r="F14" s="4"/>
    </row>
    <row r="15" spans="1:6" ht="18" customHeight="1" x14ac:dyDescent="0.35"/>
    <row r="16" spans="1:6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6">
    <mergeCell ref="B14:F14"/>
    <mergeCell ref="A1:F1"/>
    <mergeCell ref="A2:F2"/>
    <mergeCell ref="A11:F11"/>
    <mergeCell ref="B12:F12"/>
    <mergeCell ref="B13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79"/>
  <sheetViews>
    <sheetView showGridLines="0" zoomScaleNormal="100" workbookViewId="0">
      <selection activeCell="A2" sqref="A2:G2"/>
    </sheetView>
  </sheetViews>
  <sheetFormatPr defaultColWidth="8.6328125" defaultRowHeight="14.5" x14ac:dyDescent="0.35"/>
  <cols>
    <col min="1" max="7" width="12" customWidth="1"/>
  </cols>
  <sheetData>
    <row r="1" spans="1:7" ht="21.75" customHeight="1" x14ac:dyDescent="0.35">
      <c r="A1" s="14" t="s">
        <v>267</v>
      </c>
      <c r="B1" s="14"/>
      <c r="C1" s="14"/>
      <c r="D1" s="14"/>
      <c r="E1" s="14"/>
      <c r="F1" s="14"/>
      <c r="G1" s="14"/>
    </row>
    <row r="2" spans="1:7" ht="19.5" customHeight="1" x14ac:dyDescent="0.35">
      <c r="A2" s="7"/>
      <c r="B2" s="7"/>
      <c r="C2" s="7"/>
      <c r="D2" s="7"/>
      <c r="E2" s="7"/>
      <c r="F2" s="7"/>
      <c r="G2" s="7"/>
    </row>
    <row r="3" spans="1:7" ht="18" customHeight="1" x14ac:dyDescent="0.35">
      <c r="A3" s="21" t="s">
        <v>239</v>
      </c>
      <c r="B3" s="21" t="s">
        <v>49</v>
      </c>
      <c r="C3" s="21" t="s">
        <v>55</v>
      </c>
      <c r="D3" s="21" t="s">
        <v>59</v>
      </c>
      <c r="E3" s="21" t="s">
        <v>240</v>
      </c>
      <c r="F3" s="21" t="s">
        <v>241</v>
      </c>
    </row>
    <row r="4" spans="1:7" ht="18" customHeight="1" x14ac:dyDescent="0.35">
      <c r="A4" s="87" t="s">
        <v>44</v>
      </c>
      <c r="B4" s="30">
        <f>'Raw Data'!B4</f>
        <v>90000</v>
      </c>
      <c r="C4" s="30">
        <f>'Raw Data'!B11</f>
        <v>21000</v>
      </c>
      <c r="D4" s="30">
        <f>'Raw Data'!B15</f>
        <v>15375</v>
      </c>
      <c r="E4" s="40">
        <f>'Raw Data'!B11/'Raw Data'!B4</f>
        <v>0.23333333333333334</v>
      </c>
      <c r="F4" s="40">
        <f>'Raw Data'!B15/'Raw Data'!B4</f>
        <v>0.17083333333333334</v>
      </c>
    </row>
    <row r="5" spans="1:7" ht="18" customHeight="1" x14ac:dyDescent="0.35">
      <c r="A5" s="88" t="s">
        <v>45</v>
      </c>
      <c r="B5" s="29">
        <f>'Raw Data'!C4</f>
        <v>95000</v>
      </c>
      <c r="C5" s="29">
        <f>'Raw Data'!C11</f>
        <v>22800</v>
      </c>
      <c r="D5" s="29">
        <f>'Raw Data'!C15</f>
        <v>16725</v>
      </c>
      <c r="E5" s="39">
        <f>'Raw Data'!C11/'Raw Data'!C4</f>
        <v>0.24</v>
      </c>
      <c r="F5" s="39">
        <f>'Raw Data'!C15/'Raw Data'!C4</f>
        <v>0.17605263157894738</v>
      </c>
    </row>
    <row r="6" spans="1:7" ht="18" customHeight="1" x14ac:dyDescent="0.35">
      <c r="A6" s="87" t="s">
        <v>46</v>
      </c>
      <c r="B6" s="30">
        <f>'Raw Data'!D4</f>
        <v>100000</v>
      </c>
      <c r="C6" s="30">
        <f>'Raw Data'!D11</f>
        <v>25500</v>
      </c>
      <c r="D6" s="30">
        <f>'Raw Data'!D15</f>
        <v>18675</v>
      </c>
      <c r="E6" s="40">
        <f>'Raw Data'!D11/'Raw Data'!D4</f>
        <v>0.255</v>
      </c>
      <c r="F6" s="40">
        <f>'Raw Data'!D15/'Raw Data'!D4</f>
        <v>0.18675</v>
      </c>
    </row>
    <row r="7" spans="1:7" ht="18" customHeight="1" x14ac:dyDescent="0.35">
      <c r="A7" s="88" t="s">
        <v>47</v>
      </c>
      <c r="B7" s="29">
        <f>'Raw Data'!E4</f>
        <v>110000</v>
      </c>
      <c r="C7" s="29">
        <f>'Raw Data'!E11</f>
        <v>30200</v>
      </c>
      <c r="D7" s="29">
        <f>'Raw Data'!E15</f>
        <v>22162.5</v>
      </c>
      <c r="E7" s="39">
        <f>'Raw Data'!E11/'Raw Data'!E4</f>
        <v>0.27454545454545454</v>
      </c>
      <c r="F7" s="39">
        <f>'Raw Data'!E15/'Raw Data'!E4</f>
        <v>0.20147727272727273</v>
      </c>
    </row>
    <row r="8" spans="1:7" ht="18" customHeight="1" x14ac:dyDescent="0.35">
      <c r="A8" s="87" t="s">
        <v>48</v>
      </c>
      <c r="B8" s="30">
        <f>'Raw Data'!F4</f>
        <v>120000</v>
      </c>
      <c r="C8" s="30">
        <f>'Raw Data'!F11</f>
        <v>33000</v>
      </c>
      <c r="D8" s="30">
        <f>'Raw Data'!F15</f>
        <v>24225</v>
      </c>
      <c r="E8" s="40">
        <f>'Raw Data'!F11/'Raw Data'!F4</f>
        <v>0.27500000000000002</v>
      </c>
      <c r="F8" s="40">
        <f>'Raw Data'!F15/'Raw Data'!F4</f>
        <v>0.201875</v>
      </c>
    </row>
    <row r="9" spans="1:7" ht="18" customHeight="1" x14ac:dyDescent="0.35"/>
    <row r="10" spans="1:7" ht="18" customHeight="1" x14ac:dyDescent="0.35"/>
    <row r="11" spans="1:7" ht="18" customHeight="1" x14ac:dyDescent="0.35"/>
    <row r="12" spans="1:7" ht="18" customHeight="1" x14ac:dyDescent="0.35"/>
    <row r="13" spans="1:7" ht="18" customHeight="1" x14ac:dyDescent="0.35"/>
    <row r="14" spans="1:7" ht="18" customHeight="1" x14ac:dyDescent="0.35"/>
    <row r="15" spans="1:7" ht="18" customHeight="1" x14ac:dyDescent="0.35"/>
    <row r="16" spans="1:7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C79"/>
  <sheetViews>
    <sheetView showGridLines="0" tabSelected="1" zoomScaleNormal="100" workbookViewId="0">
      <selection activeCell="G6" sqref="G6"/>
    </sheetView>
  </sheetViews>
  <sheetFormatPr defaultColWidth="8.6328125" defaultRowHeight="14.5" x14ac:dyDescent="0.35"/>
  <cols>
    <col min="1" max="1" width="30" customWidth="1"/>
    <col min="2" max="2" width="20" customWidth="1"/>
    <col min="3" max="3" width="50" customWidth="1"/>
  </cols>
  <sheetData>
    <row r="1" spans="1:3" ht="21.75" customHeight="1" x14ac:dyDescent="0.35">
      <c r="A1" s="14" t="s">
        <v>268</v>
      </c>
      <c r="B1" s="14"/>
      <c r="C1" s="14"/>
    </row>
    <row r="2" spans="1:3" ht="19.5" customHeight="1" x14ac:dyDescent="0.35">
      <c r="A2" s="8" t="s">
        <v>242</v>
      </c>
      <c r="B2" s="8"/>
      <c r="C2" s="8"/>
    </row>
    <row r="3" spans="1:3" ht="18" customHeight="1" x14ac:dyDescent="0.35">
      <c r="A3" s="21" t="s">
        <v>243</v>
      </c>
      <c r="B3" s="21" t="s">
        <v>244</v>
      </c>
    </row>
    <row r="4" spans="1:3" ht="21.75" customHeight="1" x14ac:dyDescent="0.35">
      <c r="A4" s="89" t="s">
        <v>23</v>
      </c>
      <c r="B4" s="134">
        <f>'DCF Valuation'!B56</f>
        <v>975.36951670144822</v>
      </c>
    </row>
    <row r="5" spans="1:3" ht="21.75" customHeight="1" x14ac:dyDescent="0.35">
      <c r="A5" s="90" t="s">
        <v>205</v>
      </c>
      <c r="B5" s="135">
        <f>'Relative Valuation'!B12</f>
        <v>1883.3333333333333</v>
      </c>
    </row>
    <row r="6" spans="1:3" ht="21.75" customHeight="1" x14ac:dyDescent="0.35">
      <c r="A6" s="89" t="s">
        <v>211</v>
      </c>
      <c r="B6" s="134">
        <f>'Relative Valuation'!B21</f>
        <v>1461.1904761904761</v>
      </c>
    </row>
    <row r="7" spans="1:3" ht="21.75" customHeight="1" x14ac:dyDescent="0.35">
      <c r="A7" s="90" t="s">
        <v>245</v>
      </c>
      <c r="B7" s="135">
        <f>'Other Valuations'!B6</f>
        <v>340.47619047619048</v>
      </c>
    </row>
    <row r="8" spans="1:3" ht="24" customHeight="1" x14ac:dyDescent="0.35">
      <c r="A8" s="106" t="s">
        <v>246</v>
      </c>
      <c r="B8" s="106"/>
      <c r="C8" s="106"/>
    </row>
    <row r="9" spans="1:3" ht="25.5" customHeight="1" x14ac:dyDescent="0.35">
      <c r="A9" s="91"/>
      <c r="B9" s="92"/>
    </row>
    <row r="10" spans="1:3" ht="19.5" customHeight="1" x14ac:dyDescent="0.35">
      <c r="A10" s="8" t="s">
        <v>247</v>
      </c>
      <c r="B10" s="8"/>
    </row>
    <row r="11" spans="1:3" ht="72" customHeight="1" x14ac:dyDescent="0.35">
      <c r="A11" s="107" t="s">
        <v>248</v>
      </c>
      <c r="B11" s="107"/>
      <c r="C11" s="107"/>
    </row>
    <row r="12" spans="1:3" ht="72" customHeight="1" x14ac:dyDescent="0.35">
      <c r="A12" s="20" t="s">
        <v>249</v>
      </c>
      <c r="B12" s="3" t="s">
        <v>269</v>
      </c>
      <c r="C12" s="3"/>
    </row>
    <row r="13" spans="1:3" ht="72" customHeight="1" x14ac:dyDescent="0.35">
      <c r="A13" s="93" t="s">
        <v>250</v>
      </c>
      <c r="B13" s="108" t="s">
        <v>251</v>
      </c>
      <c r="C13" s="108"/>
    </row>
    <row r="14" spans="1:3" ht="72" customHeight="1" x14ac:dyDescent="0.35">
      <c r="A14" s="20" t="s">
        <v>252</v>
      </c>
      <c r="B14" s="3" t="s">
        <v>253</v>
      </c>
      <c r="C14" s="3"/>
    </row>
    <row r="15" spans="1:3" ht="60" customHeight="1" x14ac:dyDescent="0.35">
      <c r="A15" s="20" t="s">
        <v>254</v>
      </c>
      <c r="B15" s="3" t="s">
        <v>255</v>
      </c>
      <c r="C15" s="3"/>
    </row>
    <row r="16" spans="1:3" ht="4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</sheetData>
  <mergeCells count="9">
    <mergeCell ref="B12:C12"/>
    <mergeCell ref="B13:C13"/>
    <mergeCell ref="B14:C14"/>
    <mergeCell ref="B15:C15"/>
    <mergeCell ref="A1:C1"/>
    <mergeCell ref="A2:C2"/>
    <mergeCell ref="A8:C8"/>
    <mergeCell ref="A10:B10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</vt:lpstr>
      <vt:lpstr>Raw Data</vt:lpstr>
      <vt:lpstr>Accounting Concepts</vt:lpstr>
      <vt:lpstr>Income Statement</vt:lpstr>
      <vt:lpstr>Financial Ratios</vt:lpstr>
      <vt:lpstr>Trend Analysis</vt:lpstr>
      <vt:lpstr>3-Statement Model</vt:lpstr>
      <vt:lpstr>Forecasting</vt:lpstr>
      <vt:lpstr>DCF Valuation</vt:lpstr>
      <vt:lpstr>Other Valuations</vt:lpstr>
      <vt:lpstr>EBITDA &amp; EV</vt:lpstr>
      <vt:lpstr>Relative Valuation</vt:lpstr>
      <vt:lpstr>Replacement Cost Model</vt:lpstr>
      <vt:lpstr>Beta Analysis</vt:lpstr>
      <vt:lpstr>Startup Valuation</vt:lpstr>
      <vt:lpstr>Sensitivity Analysis</vt:lpstr>
      <vt:lpstr>Charts</vt:lpstr>
      <vt:lpstr>Final Conclusion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Lizzie</cp:lastModifiedBy>
  <cp:revision>6</cp:revision>
  <dcterms:created xsi:type="dcterms:W3CDTF">2026-05-05T13:34:05Z</dcterms:created>
  <dcterms:modified xsi:type="dcterms:W3CDTF">2026-05-09T06:45:36Z</dcterms:modified>
  <dc:language>en-US</dc:language>
</cp:coreProperties>
</file>